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単語帳一覧(401-500)" sheetId="1" state="visible" r:id="rId1"/>
    <sheet xmlns:r="http://schemas.openxmlformats.org/officeDocument/2006/relationships" name="10択クイズ(英→日)" sheetId="2" state="visible" r:id="rId2"/>
    <sheet xmlns:r="http://schemas.openxmlformats.org/officeDocument/2006/relationships" name="10択クイズ(日→英)" sheetId="3" state="visible" r:id="rId3"/>
  </sheets>
  <definedNames>
    <definedName name="_xlnm._FilterDatabase" localSheetId="0" hidden="1">'単語帳一覧(401-500)'!$A$4:$G$104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21">
    <font>
      <name val="Calibri"/>
      <family val="2"/>
      <color theme="1"/>
      <sz val="11"/>
      <scheme val="minor"/>
    </font>
    <font>
      <name val="Meiryo"/>
      <b val="1"/>
      <color rgb="00FFFFFF"/>
      <sz val="15"/>
    </font>
    <font>
      <name val="Meiryo"/>
      <i val="1"/>
      <color rgb="00475569"/>
      <sz val="9"/>
    </font>
    <font>
      <name val="Meiryo"/>
      <b val="1"/>
      <color rgb="00FFFFFF"/>
      <sz val="10"/>
    </font>
    <font>
      <name val="Meiryo"/>
      <sz val="10"/>
    </font>
    <font>
      <name val="Meiryo"/>
      <b val="1"/>
      <color rgb="001E3A8A"/>
      <sz val="10"/>
    </font>
    <font>
      <name val="Meiryo"/>
      <b val="1"/>
      <sz val="10"/>
    </font>
    <font>
      <name val="Meiryo"/>
      <b val="1"/>
      <color rgb="000F172A"/>
      <sz val="10"/>
    </font>
    <font>
      <name val="Meiryo"/>
      <b val="1"/>
      <color rgb="00FFFFFF"/>
      <sz val="14"/>
    </font>
    <font>
      <name val="Meiryo"/>
      <b val="1"/>
      <color rgb="00475569"/>
      <sz val="9"/>
    </font>
    <font>
      <name val="Meiryo"/>
      <b val="1"/>
      <color rgb="001E293B"/>
      <sz val="13"/>
    </font>
    <font>
      <name val="Meiryo"/>
      <b val="1"/>
      <color rgb="0015803D"/>
      <sz val="9"/>
    </font>
    <font>
      <name val="Meiryo"/>
      <b val="1"/>
      <color rgb="0015803D"/>
      <sz val="13"/>
    </font>
    <font>
      <name val="Meiryo"/>
      <b val="1"/>
      <color rgb="00B91C1C"/>
      <sz val="9"/>
    </font>
    <font>
      <name val="Meiryo"/>
      <b val="1"/>
      <color rgb="00B91C1C"/>
      <sz val="13"/>
    </font>
    <font>
      <name val="Meiryo"/>
      <b val="1"/>
      <color rgb="001D4ED8"/>
      <sz val="9"/>
    </font>
    <font>
      <name val="Meiryo"/>
      <b val="1"/>
      <color rgb="001D4ED8"/>
      <sz val="13"/>
    </font>
    <font>
      <name val="Meiryo"/>
      <color rgb="00334155"/>
      <sz val="9"/>
    </font>
    <font>
      <name val="Meiryo"/>
      <b val="1"/>
      <color rgb="000F172A"/>
      <sz val="11"/>
    </font>
    <font>
      <name val="Meiryo"/>
      <sz val="9"/>
    </font>
    <font>
      <name val="Meiryo"/>
      <b val="1"/>
      <color rgb="00C2410C"/>
      <sz val="12"/>
    </font>
  </fonts>
  <fills count="11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F1F5F9"/>
        <bgColor rgb="00F1F5F9"/>
      </patternFill>
    </fill>
    <fill>
      <patternFill patternType="solid">
        <fgColor rgb="00FFFFFF"/>
        <bgColor rgb="00FFFFFF"/>
      </patternFill>
    </fill>
    <fill>
      <patternFill patternType="solid">
        <fgColor rgb="00F8FAFC"/>
        <bgColor rgb="00F8FAFC"/>
      </patternFill>
    </fill>
    <fill>
      <patternFill patternType="solid">
        <fgColor rgb="000369A1"/>
        <bgColor rgb="000369A1"/>
      </patternFill>
    </fill>
    <fill>
      <patternFill patternType="solid">
        <fgColor rgb="00C2410C"/>
        <bgColor rgb="00C2410C"/>
      </patternFill>
    </fill>
    <fill>
      <patternFill patternType="solid">
        <fgColor rgb="00475569"/>
        <bgColor rgb="00475569"/>
      </patternFill>
    </fill>
    <fill>
      <patternFill patternType="solid">
        <fgColor rgb="00334155"/>
        <bgColor rgb="00334155"/>
      </patternFill>
    </fill>
    <fill>
      <patternFill patternType="solid">
        <fgColor rgb="00FFF7ED"/>
        <bgColor rgb="00FFF7ED"/>
      </patternFill>
    </fill>
  </fills>
  <borders count="3">
    <border>
      <left/>
      <right/>
      <top/>
      <bottom/>
      <diagonal/>
    </border>
    <border>
      <left style="thin">
        <color rgb="0094A3B8"/>
      </left>
      <right style="thin">
        <color rgb="0094A3B8"/>
      </right>
      <top style="thin">
        <color rgb="0094A3B8"/>
      </top>
      <bottom style="medium">
        <color rgb="001E293B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4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5" fillId="4" borderId="2" applyAlignment="1" pivotButton="0" quotePrefix="0" xfId="0">
      <alignment horizontal="center" vertical="center"/>
    </xf>
    <xf numFmtId="0" fontId="6" fillId="4" borderId="2" applyAlignment="1" pivotButton="0" quotePrefix="0" xfId="0">
      <alignment horizontal="left" vertical="center"/>
    </xf>
    <xf numFmtId="0" fontId="4" fillId="4" borderId="2" applyAlignment="1" pivotButton="0" quotePrefix="0" xfId="0">
      <alignment horizontal="center" vertical="center"/>
    </xf>
    <xf numFmtId="0" fontId="7" fillId="4" borderId="2" applyAlignment="1" pivotButton="0" quotePrefix="0" xfId="0">
      <alignment horizontal="left" vertical="center"/>
    </xf>
    <xf numFmtId="0" fontId="4" fillId="4" borderId="2" applyAlignment="1" pivotButton="0" quotePrefix="0" xfId="0">
      <alignment horizontal="left" vertical="center" wrapText="1"/>
    </xf>
    <xf numFmtId="0" fontId="5" fillId="5" borderId="2" applyAlignment="1" pivotButton="0" quotePrefix="0" xfId="0">
      <alignment horizontal="center" vertical="center"/>
    </xf>
    <xf numFmtId="0" fontId="6" fillId="5" borderId="2" applyAlignment="1" pivotButton="0" quotePrefix="0" xfId="0">
      <alignment horizontal="left" vertical="center"/>
    </xf>
    <xf numFmtId="0" fontId="4" fillId="5" borderId="2" applyAlignment="1" pivotButton="0" quotePrefix="0" xfId="0">
      <alignment horizontal="center" vertical="center"/>
    </xf>
    <xf numFmtId="0" fontId="7" fillId="5" borderId="2" applyAlignment="1" pivotButton="0" quotePrefix="0" xfId="0">
      <alignment horizontal="left" vertical="center"/>
    </xf>
    <xf numFmtId="0" fontId="4" fillId="5" borderId="2" applyAlignment="1" pivotButton="0" quotePrefix="0" xfId="0">
      <alignment horizontal="left" vertical="center" wrapText="1"/>
    </xf>
    <xf numFmtId="0" fontId="8" fillId="2" borderId="0" applyAlignment="1" pivotButton="0" quotePrefix="0" xfId="0">
      <alignment horizontal="center" vertical="center"/>
    </xf>
    <xf numFmtId="0" fontId="9" fillId="5" borderId="0" applyAlignment="1" pivotButton="0" quotePrefix="0" xfId="0">
      <alignment horizontal="center" vertical="center"/>
    </xf>
    <xf numFmtId="0" fontId="11" fillId="5" borderId="0" applyAlignment="1" pivotButton="0" quotePrefix="0" xfId="0">
      <alignment horizontal="center" vertical="center"/>
    </xf>
    <xf numFmtId="0" fontId="13" fillId="5" borderId="0" applyAlignment="1" pivotButton="0" quotePrefix="0" xfId="0">
      <alignment horizontal="center" vertical="center"/>
    </xf>
    <xf numFmtId="0" fontId="15" fillId="5" borderId="0" applyAlignment="1" pivotButton="0" quotePrefix="0" xfId="0">
      <alignment horizontal="center" vertical="center"/>
    </xf>
    <xf numFmtId="0" fontId="17" fillId="5" borderId="0" applyAlignment="1" pivotButton="0" quotePrefix="0" xfId="0">
      <alignment horizontal="left" vertical="center" wrapText="1"/>
    </xf>
    <xf numFmtId="0" fontId="10" fillId="5" borderId="0" applyAlignment="1" pivotButton="0" quotePrefix="0" xfId="0">
      <alignment horizontal="center" vertical="center"/>
    </xf>
    <xf numFmtId="0" fontId="12" fillId="5" borderId="0" applyAlignment="1" pivotButton="0" quotePrefix="0" xfId="0">
      <alignment horizontal="center" vertical="center"/>
    </xf>
    <xf numFmtId="0" fontId="14" fillId="5" borderId="0" applyAlignment="1" pivotButton="0" quotePrefix="0" xfId="0">
      <alignment horizontal="center" vertical="center"/>
    </xf>
    <xf numFmtId="164" fontId="16" fillId="5" borderId="0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0" fillId="5" borderId="2" applyAlignment="1" pivotButton="0" quotePrefix="0" xfId="0">
      <alignment horizontal="center" vertical="center"/>
    </xf>
    <xf numFmtId="0" fontId="18" fillId="5" borderId="2" applyAlignment="1" pivotButton="0" quotePrefix="0" xfId="0">
      <alignment horizontal="center" vertical="center"/>
    </xf>
    <xf numFmtId="0" fontId="19" fillId="5" borderId="2" applyAlignment="1" pivotButton="0" quotePrefix="0" xfId="0">
      <alignment horizontal="left" vertical="center"/>
    </xf>
    <xf numFmtId="0" fontId="20" fillId="10" borderId="2" applyAlignment="1" pivotButton="0" quotePrefix="0" xfId="0">
      <alignment horizontal="center" vertical="center"/>
    </xf>
    <xf numFmtId="0" fontId="6" fillId="5" borderId="2" applyAlignment="1" pivotButton="0" quotePrefix="0" xfId="0">
      <alignment horizontal="center" vertical="center"/>
    </xf>
    <xf numFmtId="0" fontId="0" fillId="5" borderId="2" applyAlignment="1" pivotButton="0" quotePrefix="0" xfId="0">
      <alignment horizontal="left" vertical="center"/>
    </xf>
    <xf numFmtId="0" fontId="0" fillId="5" borderId="2" applyAlignment="1" pivotButton="0" quotePrefix="0" xfId="0">
      <alignment horizontal="left" vertical="center" wrapText="1"/>
    </xf>
    <xf numFmtId="0" fontId="0" fillId="4" borderId="2" applyAlignment="1" pivotButton="0" quotePrefix="0" xfId="0">
      <alignment horizontal="center" vertical="center"/>
    </xf>
    <xf numFmtId="0" fontId="18" fillId="4" borderId="2" applyAlignment="1" pivotButton="0" quotePrefix="0" xfId="0">
      <alignment horizontal="center" vertical="center"/>
    </xf>
    <xf numFmtId="0" fontId="19" fillId="4" borderId="2" applyAlignment="1" pivotButton="0" quotePrefix="0" xfId="0">
      <alignment horizontal="left" vertical="center"/>
    </xf>
    <xf numFmtId="0" fontId="6" fillId="4" borderId="2" applyAlignment="1" pivotButton="0" quotePrefix="0" xfId="0">
      <alignment horizontal="center" vertical="center"/>
    </xf>
    <xf numFmtId="0" fontId="0" fillId="4" borderId="2" applyAlignment="1" pivotButton="0" quotePrefix="0" xfId="0">
      <alignment horizontal="left" vertical="center"/>
    </xf>
    <xf numFmtId="0" fontId="0" fillId="4" borderId="2" applyAlignment="1" pivotButton="0" quotePrefix="0" xfId="0">
      <alignment horizontal="left" vertical="center" wrapText="1"/>
    </xf>
  </cellXfs>
  <cellStyles count="1">
    <cellStyle name="Normal" xfId="0" builtinId="0" hidden="0"/>
  </cellStyles>
  <dxfs count="2">
    <dxf>
      <font>
        <name val="Meiryo"/>
        <b val="1"/>
        <color rgb="00166534"/>
      </font>
      <fill>
        <patternFill patternType="solid">
          <fgColor rgb="00DCFCE7"/>
          <bgColor rgb="00DCFCE7"/>
        </patternFill>
      </fill>
    </dxf>
    <dxf>
      <font>
        <name val="Meiryo"/>
        <b val="1"/>
        <color rgb="00991B1B"/>
      </font>
      <fill>
        <patternFill patternType="solid">
          <fgColor rgb="00FEE2E2"/>
          <bgColor rgb="00FEE2E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4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10" customWidth="1" min="3" max="3"/>
    <col width="22" customWidth="1" min="4" max="4"/>
    <col width="45" customWidth="1" min="5" max="5"/>
    <col width="45" customWidth="1" min="6" max="6"/>
    <col width="45" customWidth="1" min="7" max="7"/>
  </cols>
  <sheetData>
    <row r="1" ht="36" customHeight="1">
      <c r="A1" s="1" t="inlineStr">
        <is>
          <t>TOEIC L&amp;R 出る単特急 金のフレーズ 重要単語一覧 (No. 401 - 500)</t>
        </is>
      </c>
    </row>
    <row r="2" ht="22" customHeight="1">
      <c r="A2" s="2" t="inlineStr">
        <is>
          <t>収録語数: 全100語 | 出題範囲: 401〜500 | 例文・和訳・重要ポイント付き</t>
        </is>
      </c>
    </row>
    <row r="3" ht="8" customHeight="1"/>
    <row r="4" ht="28" customHeight="1">
      <c r="A4" s="3" t="inlineStr">
        <is>
          <t>No.</t>
        </is>
      </c>
      <c r="B4" s="3" t="inlineStr">
        <is>
          <t>英単語 (Word)</t>
        </is>
      </c>
      <c r="C4" s="3" t="inlineStr">
        <is>
          <t>品詞</t>
        </is>
      </c>
      <c r="D4" s="3" t="inlineStr">
        <is>
          <t>主な意味 (Meaning)</t>
        </is>
      </c>
      <c r="E4" s="3" t="inlineStr">
        <is>
          <t>例文 (Example Sentence)</t>
        </is>
      </c>
      <c r="F4" s="3" t="inlineStr">
        <is>
          <t>例文の日本語訳</t>
        </is>
      </c>
      <c r="G4" s="3" t="inlineStr">
        <is>
          <t>補足・関連語 (Notes)</t>
        </is>
      </c>
    </row>
    <row r="5" ht="25" customHeight="1">
      <c r="A5" s="4" t="n">
        <v>401</v>
      </c>
      <c r="B5" s="5" t="inlineStr">
        <is>
          <t>cause</t>
        </is>
      </c>
      <c r="C5" s="6" t="inlineStr">
        <is>
          <t>動詞</t>
        </is>
      </c>
      <c r="D5" s="7" t="inlineStr">
        <is>
          <t>引き起こす</t>
        </is>
      </c>
      <c r="E5" s="8" t="inlineStr">
        <is>
          <t>Heavy traffic is causing delays on Highway 18.</t>
        </is>
      </c>
      <c r="F5" s="8" t="inlineStr">
        <is>
          <t>18号線では交通渋滞により遅れが生じています。</t>
        </is>
      </c>
      <c r="G5" s="8" t="inlineStr">
        <is>
          <t>名: cause「原因、理由、大義」</t>
        </is>
      </c>
    </row>
    <row r="6" ht="25" customHeight="1">
      <c r="A6" s="9" t="n">
        <v>402</v>
      </c>
      <c r="B6" s="10" t="inlineStr">
        <is>
          <t>decade</t>
        </is>
      </c>
      <c r="C6" s="11" t="inlineStr">
        <is>
          <t>名詞</t>
        </is>
      </c>
      <c r="D6" s="12" t="inlineStr">
        <is>
          <t>10年</t>
        </is>
      </c>
      <c r="E6" s="13" t="inlineStr">
        <is>
          <t>The city has changed over the last decade.</t>
        </is>
      </c>
      <c r="F6" s="13" t="inlineStr">
        <is>
          <t>その市はこの10年で変わった。</t>
        </is>
      </c>
      <c r="G6" s="13" t="inlineStr">
        <is>
          <t>ten yearsに言い換えることができる</t>
        </is>
      </c>
    </row>
    <row r="7" ht="25" customHeight="1">
      <c r="A7" s="4" t="n">
        <v>403</v>
      </c>
      <c r="B7" s="5" t="inlineStr">
        <is>
          <t>expire</t>
        </is>
      </c>
      <c r="C7" s="6" t="inlineStr">
        <is>
          <t>動詞</t>
        </is>
      </c>
      <c r="D7" s="7" t="inlineStr">
        <is>
          <t>期限が切れる</t>
        </is>
      </c>
      <c r="E7" s="8" t="inlineStr">
        <is>
          <t>My passport has expired.</t>
        </is>
      </c>
      <c r="F7" s="8" t="inlineStr">
        <is>
          <t>私のパスポートは期限が切れた。</t>
        </is>
      </c>
      <c r="G7" s="8" t="inlineStr">
        <is>
          <t>名: expiration〈加米〉、expiry〈英〉「満了、終結」、expiration date「有効期限、使用期限」(=expiry date)</t>
        </is>
      </c>
    </row>
    <row r="8" ht="25" customHeight="1">
      <c r="A8" s="9" t="n">
        <v>404</v>
      </c>
      <c r="B8" s="10" t="inlineStr">
        <is>
          <t>income</t>
        </is>
      </c>
      <c r="C8" s="11" t="inlineStr">
        <is>
          <t>名詞</t>
        </is>
      </c>
      <c r="D8" s="12" t="inlineStr">
        <is>
          <t>収入</t>
        </is>
      </c>
      <c r="E8" s="13" t="inlineStr">
        <is>
          <t>Tourism is the main source of income in the region.</t>
        </is>
      </c>
      <c r="F8" s="13" t="inlineStr">
        <is>
          <t>観光業はこの地域の主な収入源です。</t>
        </is>
      </c>
      <c r="G8" s="13" t="inlineStr">
        <is>
          <t>個人の「所得」という意味にもなる。同: revenue「収入」、反: expenditure「支出」</t>
        </is>
      </c>
    </row>
    <row r="9" ht="25" customHeight="1">
      <c r="A9" s="4" t="n">
        <v>405</v>
      </c>
      <c r="B9" s="5" t="inlineStr">
        <is>
          <t>immediate</t>
        </is>
      </c>
      <c r="C9" s="6" t="inlineStr">
        <is>
          <t>形容詞</t>
        </is>
      </c>
      <c r="D9" s="7" t="inlineStr">
        <is>
          <t>早急な</t>
        </is>
      </c>
      <c r="E9" s="8" t="inlineStr">
        <is>
          <t>We need to take immediate action.</t>
        </is>
      </c>
      <c r="F9" s="8" t="inlineStr">
        <is>
          <t>私たちは早急な対応を取る必要があります。</t>
        </is>
      </c>
      <c r="G9" s="8" t="inlineStr">
        <is>
          <t>副: immediately「早急に」</t>
        </is>
      </c>
    </row>
    <row r="10" ht="25" customHeight="1">
      <c r="A10" s="9" t="n">
        <v>406</v>
      </c>
      <c r="B10" s="10" t="inlineStr">
        <is>
          <t>questionnaire</t>
        </is>
      </c>
      <c r="C10" s="11" t="inlineStr">
        <is>
          <t>名詞</t>
        </is>
      </c>
      <c r="D10" s="12" t="inlineStr">
        <is>
          <t>アンケート</t>
        </is>
      </c>
      <c r="E10" s="13" t="inlineStr">
        <is>
          <t>Please complete the questionnaire after the seminar.</t>
        </is>
      </c>
      <c r="F10" s="13" t="inlineStr">
        <is>
          <t>セミナーのあと、アンケートにご記入ください。</t>
        </is>
      </c>
      <c r="G10" s="13" t="inlineStr">
        <is>
          <t>名: question「質問」、動: question「質問する、疑問に思う」</t>
        </is>
      </c>
    </row>
    <row r="11" ht="25" customHeight="1">
      <c r="A11" s="4" t="n">
        <v>407</v>
      </c>
      <c r="B11" s="5" t="inlineStr">
        <is>
          <t>routine</t>
        </is>
      </c>
      <c r="C11" s="6" t="inlineStr">
        <is>
          <t>名詞</t>
        </is>
      </c>
      <c r="D11" s="7" t="inlineStr">
        <is>
          <t>習慣的に繰り返されること</t>
        </is>
      </c>
      <c r="E11" s="8" t="inlineStr">
        <is>
          <t>Exercise is part of my daily routine.</t>
        </is>
      </c>
      <c r="F11" s="8" t="inlineStr">
        <is>
          <t>運動は私の日課の一部です。</t>
        </is>
      </c>
      <c r="G11" s="8" t="inlineStr">
        <is>
          <t>「定められた手順」という意味もある。形: routine「決まった、いつもの」、副: routinely「いつものように」</t>
        </is>
      </c>
    </row>
    <row r="12" ht="25" customHeight="1">
      <c r="A12" s="9" t="n">
        <v>408</v>
      </c>
      <c r="B12" s="10" t="inlineStr">
        <is>
          <t>transfer</t>
        </is>
      </c>
      <c r="C12" s="11" t="inlineStr">
        <is>
          <t>動詞</t>
        </is>
      </c>
      <c r="D12" s="12" t="inlineStr">
        <is>
          <t>転勤する</t>
        </is>
      </c>
      <c r="E12" s="13" t="inlineStr">
        <is>
          <t>Mr. Chen transferred from Taipei to Bangkok.</t>
        </is>
      </c>
      <c r="F12" s="13" t="inlineStr">
        <is>
          <t>チェンさんは台北からバンコクへ転勤した。</t>
        </is>
      </c>
      <c r="G12" s="13" t="inlineStr">
        <is>
          <t>「転勤させる、乗り換える、移す」などの意味もある。名: transfer「転勤、移動、乗り換え」</t>
        </is>
      </c>
    </row>
    <row r="13" ht="25" customHeight="1">
      <c r="A13" s="4" t="n">
        <v>409</v>
      </c>
      <c r="B13" s="5" t="inlineStr">
        <is>
          <t>complicated</t>
        </is>
      </c>
      <c r="C13" s="6" t="inlineStr">
        <is>
          <t>形容詞</t>
        </is>
      </c>
      <c r="D13" s="7" t="inlineStr">
        <is>
          <t>複雑な</t>
        </is>
      </c>
      <c r="E13" s="8" t="inlineStr">
        <is>
          <t>Our evaluation system is very complicated.</t>
        </is>
      </c>
      <c r="F13" s="8" t="inlineStr">
        <is>
          <t>当社の評価システムはとても複雑です。</t>
        </is>
      </c>
      <c r="G13" s="8" t="inlineStr">
        <is>
          <t>同: complex「複雑な」、動: complicate「複雑にする」、名: complication「複雑にするもの」</t>
        </is>
      </c>
    </row>
    <row r="14" ht="25" customHeight="1">
      <c r="A14" s="9" t="n">
        <v>410</v>
      </c>
      <c r="B14" s="10" t="inlineStr">
        <is>
          <t>education</t>
        </is>
      </c>
      <c r="C14" s="11" t="inlineStr">
        <is>
          <t>名詞</t>
        </is>
      </c>
      <c r="D14" s="12" t="inlineStr">
        <is>
          <t>教育</t>
        </is>
      </c>
      <c r="E14" s="13" t="inlineStr">
        <is>
          <t>The government has increased spending on education.</t>
        </is>
      </c>
      <c r="F14" s="13" t="inlineStr">
        <is>
          <t>政府は教育の支出を増やした。</t>
        </is>
      </c>
      <c r="G14" s="13" t="inlineStr">
        <is>
          <t>動: educate「教育する」、形: educational「教育的な」</t>
        </is>
      </c>
    </row>
    <row r="15" ht="25" customHeight="1">
      <c r="A15" s="4" t="n">
        <v>411</v>
      </c>
      <c r="B15" s="5" t="inlineStr">
        <is>
          <t>greet</t>
        </is>
      </c>
      <c r="C15" s="6" t="inlineStr">
        <is>
          <t>動詞</t>
        </is>
      </c>
      <c r="D15" s="7" t="inlineStr">
        <is>
          <t>出迎える</t>
        </is>
      </c>
      <c r="E15" s="8" t="inlineStr">
        <is>
          <t>The manager greeted us with a smile.</t>
        </is>
      </c>
      <c r="F15" s="8" t="inlineStr">
        <is>
          <t>マネージャーは私たちを笑顔で出迎えてくれた。</t>
        </is>
      </c>
      <c r="G15" s="8" t="inlineStr">
        <is>
          <t>「あいさつする」という意味もある。名: greeting「あいさつ」</t>
        </is>
      </c>
    </row>
    <row r="16" ht="25" customHeight="1">
      <c r="A16" s="9" t="n">
        <v>412</v>
      </c>
      <c r="B16" s="10" t="inlineStr">
        <is>
          <t>influence</t>
        </is>
      </c>
      <c r="C16" s="11" t="inlineStr">
        <is>
          <t>名詞</t>
        </is>
      </c>
      <c r="D16" s="12" t="inlineStr">
        <is>
          <t>影響力</t>
        </is>
      </c>
      <c r="E16" s="13" t="inlineStr">
        <is>
          <t>The former president still has influence over the company.</t>
        </is>
      </c>
      <c r="F16" s="13" t="inlineStr">
        <is>
          <t>元社長はまだ、会社に影響力を持っている。</t>
        </is>
      </c>
      <c r="G16" s="13" t="inlineStr">
        <is>
          <t>動: influence「影響を与える」(=affect)</t>
        </is>
      </c>
    </row>
    <row r="17" ht="25" customHeight="1">
      <c r="A17" s="4" t="n">
        <v>413</v>
      </c>
      <c r="B17" s="5" t="inlineStr">
        <is>
          <t>lack</t>
        </is>
      </c>
      <c r="C17" s="6" t="inlineStr">
        <is>
          <t>名詞</t>
        </is>
      </c>
      <c r="D17" s="7" t="inlineStr">
        <is>
          <t>不足</t>
        </is>
      </c>
      <c r="E17" s="8" t="inlineStr">
        <is>
          <t>The project was canceled due to a lack of funds.</t>
        </is>
      </c>
      <c r="F17" s="8" t="inlineStr">
        <is>
          <t>資金不足のため、そのプロジェクトは中止になった。</t>
        </is>
      </c>
      <c r="G17" s="8" t="inlineStr">
        <is>
          <t>lack of ~「〜の不足」、同: shortage「不足」、動: lack「〜が足りない」</t>
        </is>
      </c>
    </row>
    <row r="18" ht="25" customHeight="1">
      <c r="A18" s="9" t="n">
        <v>414</v>
      </c>
      <c r="B18" s="10" t="inlineStr">
        <is>
          <t>mild</t>
        </is>
      </c>
      <c r="C18" s="11" t="inlineStr">
        <is>
          <t>形容詞</t>
        </is>
      </c>
      <c r="D18" s="12" t="inlineStr">
        <is>
          <t>温暖な</t>
        </is>
      </c>
      <c r="E18" s="13" t="inlineStr">
        <is>
          <t>We had a mild winter this year.</t>
        </is>
      </c>
      <c r="F18" s="13" t="inlineStr">
        <is>
          <t>今年は暖冬だった。</t>
        </is>
      </c>
      <c r="G18" s="13" t="inlineStr">
        <is>
          <t>「軽い、マイルドな」などの意味もある。副: mildly「少し」(=slightly)</t>
        </is>
      </c>
    </row>
    <row r="19" ht="25" customHeight="1">
      <c r="A19" s="4" t="n">
        <v>415</v>
      </c>
      <c r="B19" s="5" t="inlineStr">
        <is>
          <t>normally</t>
        </is>
      </c>
      <c r="C19" s="6" t="inlineStr">
        <is>
          <t>副詞</t>
        </is>
      </c>
      <c r="D19" s="7" t="inlineStr">
        <is>
          <t>普通は</t>
        </is>
      </c>
      <c r="E19" s="8" t="inlineStr">
        <is>
          <t>I normally work forty hours a week.</t>
        </is>
      </c>
      <c r="F19" s="8" t="inlineStr">
        <is>
          <t>私は普段、週に40時間働いています。</t>
        </is>
      </c>
      <c r="G19" s="8" t="inlineStr">
        <is>
          <t>同: usually「普通は」、形: normal「通常の」</t>
        </is>
      </c>
    </row>
    <row r="20" ht="25" customHeight="1">
      <c r="A20" s="9" t="n">
        <v>416</v>
      </c>
      <c r="B20" s="10" t="inlineStr">
        <is>
          <t>physical</t>
        </is>
      </c>
      <c r="C20" s="11" t="inlineStr">
        <is>
          <t>形容詞</t>
        </is>
      </c>
      <c r="D20" s="12" t="inlineStr">
        <is>
          <t>身体の</t>
        </is>
      </c>
      <c r="E20" s="13" t="inlineStr">
        <is>
          <t>I need to do physical exercise regularly.</t>
        </is>
      </c>
      <c r="F20" s="13" t="inlineStr">
        <is>
          <t>私は定期的に身体的な運動をする必要がある。</t>
        </is>
      </c>
      <c r="G20" s="13" t="inlineStr">
        <is>
          <t>副: physically「身体的に」、名: physician「医師、内科医」</t>
        </is>
      </c>
    </row>
    <row r="21" ht="25" customHeight="1">
      <c r="A21" s="4" t="n">
        <v>417</v>
      </c>
      <c r="B21" s="5" t="inlineStr">
        <is>
          <t>polite</t>
        </is>
      </c>
      <c r="C21" s="6" t="inlineStr">
        <is>
          <t>形容詞</t>
        </is>
      </c>
      <c r="D21" s="7" t="inlineStr">
        <is>
          <t>礼儀正しい</t>
        </is>
      </c>
      <c r="E21" s="8" t="inlineStr">
        <is>
          <t>The hotel clerk was polite and helpful.</t>
        </is>
      </c>
      <c r="F21" s="8" t="inlineStr">
        <is>
          <t>そのホテル従業員は礼儀正しく、親切だった。</t>
        </is>
      </c>
      <c r="G21" s="8" t="inlineStr">
        <is>
          <t>「丁寧な」という意味もある。副: politely「丁寧に、礼儀正しく」</t>
        </is>
      </c>
    </row>
    <row r="22" ht="25" customHeight="1">
      <c r="A22" s="9" t="n">
        <v>418</v>
      </c>
      <c r="B22" s="10" t="inlineStr">
        <is>
          <t>population</t>
        </is>
      </c>
      <c r="C22" s="11" t="inlineStr">
        <is>
          <t>名詞</t>
        </is>
      </c>
      <c r="D22" s="12" t="inlineStr">
        <is>
          <t>人口</t>
        </is>
      </c>
      <c r="E22" s="13" t="inlineStr">
        <is>
          <t>What is the population of India?</t>
        </is>
      </c>
      <c r="F22" s="13" t="inlineStr">
        <is>
          <t>インドの人口はどのくらいですか。</t>
        </is>
      </c>
      <c r="G22" s="13" t="inlineStr">
        <is>
          <t>working population「労働人口」</t>
        </is>
      </c>
    </row>
    <row r="23" ht="25" customHeight="1">
      <c r="A23" s="4" t="n">
        <v>419</v>
      </c>
      <c r="B23" s="5" t="inlineStr">
        <is>
          <t>pour</t>
        </is>
      </c>
      <c r="C23" s="6" t="inlineStr">
        <is>
          <t>動詞</t>
        </is>
      </c>
      <c r="D23" s="7" t="inlineStr">
        <is>
          <t>注ぐ</t>
        </is>
      </c>
      <c r="E23" s="8" t="inlineStr">
        <is>
          <t>She's pouring coffee into a cup.</t>
        </is>
      </c>
      <c r="F23" s="8" t="inlineStr">
        <is>
          <t>彼女はコーヒーをカップに注いでいる。</t>
        </is>
      </c>
      <c r="G23" s="8" t="inlineStr">
        <is>
          <t>「雨が激しく降る、殺到する、光が出る」などの意味もある。pour A into B「AをBに注ぐ」</t>
        </is>
      </c>
    </row>
    <row r="24" ht="25" customHeight="1">
      <c r="A24" s="9" t="n">
        <v>420</v>
      </c>
      <c r="B24" s="10" t="inlineStr">
        <is>
          <t>instant</t>
        </is>
      </c>
      <c r="C24" s="11" t="inlineStr">
        <is>
          <t>形容詞</t>
        </is>
      </c>
      <c r="D24" s="12" t="inlineStr">
        <is>
          <t>すぐの</t>
        </is>
      </c>
      <c r="E24" s="13" t="inlineStr">
        <is>
          <t>The book was an instant success in California.</t>
        </is>
      </c>
      <c r="F24" s="13" t="inlineStr">
        <is>
          <t>その本はカリフォルニアで即座の成功を収めた。</t>
        </is>
      </c>
      <c r="G24" s="13" t="inlineStr">
        <is>
          <t>「（食品等が）インスタントの」という意味もある。同: immediate「すぐの」、名: instant「瞬間」、名: instance「事例」、for instance「例えば」(=for example)、副: instantly「すぐに」</t>
        </is>
      </c>
    </row>
    <row r="25" ht="25" customHeight="1">
      <c r="A25" s="4" t="n">
        <v>421</v>
      </c>
      <c r="B25" s="5" t="inlineStr">
        <is>
          <t>venue</t>
        </is>
      </c>
      <c r="C25" s="6" t="inlineStr">
        <is>
          <t>名詞</t>
        </is>
      </c>
      <c r="D25" s="7" t="inlineStr">
        <is>
          <t>会場</t>
        </is>
      </c>
      <c r="E25" s="8" t="inlineStr">
        <is>
          <t>Be sure to arrive at the venue on time.</t>
        </is>
      </c>
      <c r="F25" s="8" t="inlineStr">
        <is>
          <t>必ず時間どおりに会場に到着するようにしてください。</t>
        </is>
      </c>
      <c r="G25" s="8" t="inlineStr">
        <is>
          <t>後ろに続く前置詞はfor。例: the venue for the event「イベント会場」</t>
        </is>
      </c>
    </row>
    <row r="26" ht="25" customHeight="1">
      <c r="A26" s="9" t="n">
        <v>422</v>
      </c>
      <c r="B26" s="10" t="inlineStr">
        <is>
          <t>resign</t>
        </is>
      </c>
      <c r="C26" s="11" t="inlineStr">
        <is>
          <t>動詞</t>
        </is>
      </c>
      <c r="D26" s="12" t="inlineStr">
        <is>
          <t>辞任する</t>
        </is>
      </c>
      <c r="E26" s="13" t="inlineStr">
        <is>
          <t>The president resigned yesterday.</t>
        </is>
      </c>
      <c r="F26" s="13" t="inlineStr">
        <is>
          <t>社長は昨日、辞任した。</t>
        </is>
      </c>
      <c r="G26" s="13" t="inlineStr">
        <is>
          <t>名: resignation「辞任」、同: retire「退職する」、leave「辞める」、quit「辞める」</t>
        </is>
      </c>
    </row>
    <row r="27" ht="25" customHeight="1">
      <c r="A27" s="4" t="n">
        <v>423</v>
      </c>
      <c r="B27" s="5" t="inlineStr">
        <is>
          <t>attach</t>
        </is>
      </c>
      <c r="C27" s="6" t="inlineStr">
        <is>
          <t>動詞</t>
        </is>
      </c>
      <c r="D27" s="7" t="inlineStr">
        <is>
          <t>添付する</t>
        </is>
      </c>
      <c r="E27" s="8" t="inlineStr">
        <is>
          <t>I attached the conference schedule for your information.</t>
        </is>
      </c>
      <c r="F27" s="8" t="inlineStr">
        <is>
          <t>ご参考までに会議スケジュールを添付いたしました。</t>
        </is>
      </c>
      <c r="G27" s="8" t="inlineStr">
        <is>
          <t>手紙、メールともに使う。「取り付ける、愛着を持たせる」などの意味もある。Attached is/are ~「〜が添付されています」、名: attachment「添付ファイル、付属品、愛着」</t>
        </is>
      </c>
    </row>
    <row r="28" ht="25" customHeight="1">
      <c r="A28" s="9" t="n">
        <v>424</v>
      </c>
      <c r="B28" s="10" t="inlineStr">
        <is>
          <t>cancel</t>
        </is>
      </c>
      <c r="C28" s="11" t="inlineStr">
        <is>
          <t>動詞</t>
        </is>
      </c>
      <c r="D28" s="12" t="inlineStr">
        <is>
          <t>取り消す</t>
        </is>
      </c>
      <c r="E28" s="13" t="inlineStr">
        <is>
          <t>I'd like to cancel my reservation.</t>
        </is>
      </c>
      <c r="F28" s="13" t="inlineStr">
        <is>
          <t>予約の取り消しをお願いします。</t>
        </is>
      </c>
      <c r="G28" s="13" t="inlineStr">
        <is>
          <t>名: cancellation「取り消し、キャンセル」、同: call off「中止する」</t>
        </is>
      </c>
    </row>
    <row r="29" ht="25" customHeight="1">
      <c r="A29" s="4" t="n">
        <v>425</v>
      </c>
      <c r="B29" s="5" t="inlineStr">
        <is>
          <t>common</t>
        </is>
      </c>
      <c r="C29" s="6" t="inlineStr">
        <is>
          <t>形容詞</t>
        </is>
      </c>
      <c r="D29" s="7" t="inlineStr">
        <is>
          <t>よくある</t>
        </is>
      </c>
      <c r="E29" s="8" t="inlineStr">
        <is>
          <t>It's a common spelling mistake.</t>
        </is>
      </c>
      <c r="F29" s="8" t="inlineStr">
        <is>
          <t>それはよくあるスペルミスです。</t>
        </is>
      </c>
      <c r="G29" s="8" t="inlineStr">
        <is>
          <t>「共通の」という意味もある。in common「共通して」、副: commonly「一般に、広く」</t>
        </is>
      </c>
    </row>
    <row r="30" ht="25" customHeight="1">
      <c r="A30" s="9" t="n">
        <v>426</v>
      </c>
      <c r="B30" s="10" t="inlineStr">
        <is>
          <t>conversation</t>
        </is>
      </c>
      <c r="C30" s="11" t="inlineStr">
        <is>
          <t>名詞</t>
        </is>
      </c>
      <c r="D30" s="12" t="inlineStr">
        <is>
          <t>会話</t>
        </is>
      </c>
      <c r="E30" s="13" t="inlineStr">
        <is>
          <t>They're having a conversation.</t>
        </is>
      </c>
      <c r="F30" s="13" t="inlineStr">
        <is>
          <t>彼らは会話をしている。</t>
        </is>
      </c>
      <c r="G30" s="13" t="inlineStr">
        <is>
          <t>類: chat「（カジュアルな）会話」、動: converse「会話する」</t>
        </is>
      </c>
    </row>
    <row r="31" ht="25" customHeight="1">
      <c r="A31" s="4" t="n">
        <v>427</v>
      </c>
      <c r="B31" s="5" t="inlineStr">
        <is>
          <t>economical</t>
        </is>
      </c>
      <c r="C31" s="6" t="inlineStr">
        <is>
          <t>形容詞</t>
        </is>
      </c>
      <c r="D31" s="7" t="inlineStr">
        <is>
          <t>経済的な</t>
        </is>
      </c>
      <c r="E31" s="8" t="inlineStr">
        <is>
          <t>It's more economical to buy in bulk.</t>
        </is>
      </c>
      <c r="F31" s="8" t="inlineStr">
        <is>
          <t>まとめて買うほうが経済的です。</t>
        </is>
      </c>
      <c r="G31" s="8" t="inlineStr">
        <is>
          <t>お金や時間などを節約できるという意味。同: economic「経済に関する」、名: economy「経済、節約」、副: economically「経済的に」</t>
        </is>
      </c>
    </row>
    <row r="32" ht="25" customHeight="1">
      <c r="A32" s="9" t="n">
        <v>428</v>
      </c>
      <c r="B32" s="10" t="inlineStr">
        <is>
          <t>exchange</t>
        </is>
      </c>
      <c r="C32" s="11" t="inlineStr">
        <is>
          <t>動詞</t>
        </is>
      </c>
      <c r="D32" s="12" t="inlineStr">
        <is>
          <t>交換する</t>
        </is>
      </c>
      <c r="E32" s="13" t="inlineStr">
        <is>
          <t>Can I exchange this jacket for a black one?</t>
        </is>
      </c>
      <c r="F32" s="13" t="inlineStr">
        <is>
          <t>このジャケットを黒のものと交換することはできますか。</t>
        </is>
      </c>
      <c r="G32" s="13" t="inlineStr">
        <is>
          <t>「交わす」という意味もある。名: exchange「交換、交換品、取引所」、foreign exchange「外国為替」、stock exchange「証券取引所」</t>
        </is>
      </c>
    </row>
    <row r="33" ht="25" customHeight="1">
      <c r="A33" s="4" t="n">
        <v>429</v>
      </c>
      <c r="B33" s="5" t="inlineStr">
        <is>
          <t>expert</t>
        </is>
      </c>
      <c r="C33" s="6" t="inlineStr">
        <is>
          <t>名詞</t>
        </is>
      </c>
      <c r="D33" s="7" t="inlineStr">
        <is>
          <t>専門家</t>
        </is>
      </c>
      <c r="E33" s="8" t="inlineStr">
        <is>
          <t>Peter is a computer expert.</t>
        </is>
      </c>
      <c r="F33" s="8" t="inlineStr">
        <is>
          <t>ピーターはコンピュータの専門家です。</t>
        </is>
      </c>
      <c r="G33" s="8" t="inlineStr">
        <is>
          <t>an expert in/on/at「〜の専門家」、名: expertise「専門技術・知識」（後ろに続く前置詞はin）</t>
        </is>
      </c>
    </row>
    <row r="34" ht="25" customHeight="1">
      <c r="A34" s="9" t="n">
        <v>430</v>
      </c>
      <c r="B34" s="10" t="inlineStr">
        <is>
          <t>extension</t>
        </is>
      </c>
      <c r="C34" s="11" t="inlineStr">
        <is>
          <t>名詞</t>
        </is>
      </c>
      <c r="D34" s="12" t="inlineStr">
        <is>
          <t>内線</t>
        </is>
      </c>
      <c r="E34" s="13" t="inlineStr">
        <is>
          <t>What's your extension number?</t>
        </is>
      </c>
      <c r="F34" s="13" t="inlineStr">
        <is>
          <t>あなたの内線番号は何番ですか。</t>
        </is>
      </c>
      <c r="G34" s="13" t="inlineStr">
        <is>
          <t>「拡張、延長」などの意味もある。動: extend「伸ばす、広げる」</t>
        </is>
      </c>
    </row>
    <row r="35" ht="25" customHeight="1">
      <c r="A35" s="4" t="n">
        <v>431</v>
      </c>
      <c r="B35" s="5" t="inlineStr">
        <is>
          <t>familiar</t>
        </is>
      </c>
      <c r="C35" s="6" t="inlineStr">
        <is>
          <t>形容詞</t>
        </is>
      </c>
      <c r="D35" s="7" t="inlineStr">
        <is>
          <t>よく知っている</t>
        </is>
      </c>
      <c r="E35" s="8" t="inlineStr">
        <is>
          <t>Are you familiar with this software?</t>
        </is>
      </c>
      <c r="F35" s="8" t="inlineStr">
        <is>
          <t>あなたはこのソフトウェアのことをよく知っていますか。</t>
        </is>
      </c>
      <c r="G35" s="8" t="inlineStr">
        <is>
          <t>familiar with ~「〜のことをよく知っている」、familiar to ~「〜にとってなじみがある」、名: familiarity「よく知っていること」</t>
        </is>
      </c>
    </row>
    <row r="36" ht="25" customHeight="1">
      <c r="A36" s="9" t="n">
        <v>432</v>
      </c>
      <c r="B36" s="10" t="inlineStr">
        <is>
          <t>host</t>
        </is>
      </c>
      <c r="C36" s="11" t="inlineStr">
        <is>
          <t>動詞</t>
        </is>
      </c>
      <c r="D36" s="12" t="inlineStr">
        <is>
          <t>主催する</t>
        </is>
      </c>
      <c r="E36" s="13" t="inlineStr">
        <is>
          <t>The city hosts a music festival every year.</t>
        </is>
      </c>
      <c r="F36" s="13" t="inlineStr">
        <is>
          <t>その市は毎年、音楽祭を主催する。</t>
        </is>
      </c>
      <c r="G36" s="13" t="inlineStr">
        <is>
          <t>「番組の司会を務める」という意味もある。名: host「主催者、司会者」</t>
        </is>
      </c>
    </row>
    <row r="37" ht="25" customHeight="1">
      <c r="A37" s="4" t="n">
        <v>433</v>
      </c>
      <c r="B37" s="5" t="inlineStr">
        <is>
          <t>ride</t>
        </is>
      </c>
      <c r="C37" s="6" t="inlineStr">
        <is>
          <t>名詞</t>
        </is>
      </c>
      <c r="D37" s="7" t="inlineStr">
        <is>
          <t>車に乗せること</t>
        </is>
      </c>
      <c r="E37" s="8" t="inlineStr">
        <is>
          <t>Can you give me a ride to the station?</t>
        </is>
      </c>
      <c r="F37" s="8" t="inlineStr">
        <is>
          <t>駅まで車に乗せていってもらえますか。</t>
        </is>
      </c>
      <c r="G37" s="8" t="inlineStr">
        <is>
          <t>give (人) a ride、動: ride「（乗り物に）乗る」</t>
        </is>
      </c>
    </row>
    <row r="38" ht="25" customHeight="1">
      <c r="A38" s="9" t="n">
        <v>434</v>
      </c>
      <c r="B38" s="10" t="inlineStr">
        <is>
          <t>seek</t>
        </is>
      </c>
      <c r="C38" s="11" t="inlineStr">
        <is>
          <t>動詞</t>
        </is>
      </c>
      <c r="D38" s="12" t="inlineStr">
        <is>
          <t>求める</t>
        </is>
      </c>
      <c r="E38" s="13" t="inlineStr">
        <is>
          <t>We are seeking an accountant.</t>
        </is>
      </c>
      <c r="F38" s="13" t="inlineStr">
        <is>
          <t>当社は経理担当者を求めています。</t>
        </is>
      </c>
      <c r="G38" s="13" t="inlineStr">
        <is>
          <t>同: look for「探す」、seek to ~「〜しようとする」</t>
        </is>
      </c>
    </row>
    <row r="39" ht="25" customHeight="1">
      <c r="A39" s="4" t="n">
        <v>435</v>
      </c>
      <c r="B39" s="5" t="inlineStr">
        <is>
          <t>step down</t>
        </is>
      </c>
      <c r="C39" s="6" t="inlineStr">
        <is>
          <t>動詞</t>
        </is>
      </c>
      <c r="D39" s="7" t="inlineStr">
        <is>
          <t>辞任する(身を引く)</t>
        </is>
      </c>
      <c r="E39" s="8" t="inlineStr">
        <is>
          <t>Ms. Garcia will step down from her post in December.</t>
        </is>
      </c>
      <c r="F39" s="8" t="inlineStr">
        <is>
          <t>ガルシアさんは今の職を12月に辞める。</t>
        </is>
      </c>
      <c r="G39" s="8" t="inlineStr">
        <is>
          <t>同: resign「辞任する」</t>
        </is>
      </c>
    </row>
    <row r="40" ht="25" customHeight="1">
      <c r="A40" s="9" t="n">
        <v>436</v>
      </c>
      <c r="B40" s="10" t="inlineStr">
        <is>
          <t>technique</t>
        </is>
      </c>
      <c r="C40" s="11" t="inlineStr">
        <is>
          <t>名詞</t>
        </is>
      </c>
      <c r="D40" s="12" t="inlineStr">
        <is>
          <t>手法</t>
        </is>
      </c>
      <c r="E40" s="13" t="inlineStr">
        <is>
          <t>The agency uses various advertising techniques.</t>
        </is>
      </c>
      <c r="F40" s="13" t="inlineStr">
        <is>
          <t>その代理店はさまざまな広告手法を使う。</t>
        </is>
      </c>
      <c r="G40" s="13" t="inlineStr">
        <is>
          <t>「技術、技能」という意味もある。形: technical「技術上の、専門的な」、副: technically「技術的に、厳密にいえば」、名: technician「技術者」(=engineer「技術者」)</t>
        </is>
      </c>
    </row>
    <row r="41" ht="25" customHeight="1">
      <c r="A41" s="4" t="n">
        <v>437</v>
      </c>
      <c r="B41" s="5" t="inlineStr">
        <is>
          <t>temporary</t>
        </is>
      </c>
      <c r="C41" s="6" t="inlineStr">
        <is>
          <t>形容詞</t>
        </is>
      </c>
      <c r="D41" s="7" t="inlineStr">
        <is>
          <t>臨時の</t>
        </is>
      </c>
      <c r="E41" s="8" t="inlineStr">
        <is>
          <t>I found a temporary job at a department store.</t>
        </is>
      </c>
      <c r="F41" s="8" t="inlineStr">
        <is>
          <t>私はデパートでの臨時の仕事を見つけた。</t>
        </is>
      </c>
      <c r="G41" s="8" t="inlineStr">
        <is>
          <t>「一時的な」という意味もある。反: permanent「恒久的な」、副: temporarily「一時的に」</t>
        </is>
      </c>
    </row>
    <row r="42" ht="25" customHeight="1">
      <c r="A42" s="9" t="n">
        <v>438</v>
      </c>
      <c r="B42" s="10" t="inlineStr">
        <is>
          <t>factor</t>
        </is>
      </c>
      <c r="C42" s="11" t="inlineStr">
        <is>
          <t>名詞</t>
        </is>
      </c>
      <c r="D42" s="12" t="inlineStr">
        <is>
          <t>要因</t>
        </is>
      </c>
      <c r="E42" s="13" t="inlineStr">
        <is>
          <t>What's the most important factor in choosing a job?</t>
        </is>
      </c>
      <c r="F42" s="13" t="inlineStr">
        <is>
          <t>仕事を選ぶ際、最も重要な要因は何ですか。</t>
        </is>
      </c>
      <c r="G42" s="13" t="inlineStr">
        <is>
          <t>同: element「要因」、deciding factor「決定的な要因」</t>
        </is>
      </c>
    </row>
    <row r="43" ht="25" customHeight="1">
      <c r="A43" s="4" t="n">
        <v>439</v>
      </c>
      <c r="B43" s="5" t="inlineStr">
        <is>
          <t>assemble</t>
        </is>
      </c>
      <c r="C43" s="6" t="inlineStr">
        <is>
          <t>動詞</t>
        </is>
      </c>
      <c r="D43" s="7" t="inlineStr">
        <is>
          <t>組み立てる</t>
        </is>
      </c>
      <c r="E43" s="8" t="inlineStr">
        <is>
          <t>These computers were assembled in Taiwan.</t>
        </is>
      </c>
      <c r="F43" s="8" t="inlineStr">
        <is>
          <t>これらのコンピュータは台湾で組み立てられた。</t>
        </is>
      </c>
      <c r="G43" s="8" t="inlineStr">
        <is>
          <t>「（人が）集まる」という意味もある。名: assembly「組み立て、集会、議会」、assembly line「（工場の）組み立てライン」</t>
        </is>
      </c>
    </row>
    <row r="44" ht="25" customHeight="1">
      <c r="A44" s="9" t="n">
        <v>440</v>
      </c>
      <c r="B44" s="10" t="inlineStr">
        <is>
          <t>attention</t>
        </is>
      </c>
      <c r="C44" s="11" t="inlineStr">
        <is>
          <t>名詞</t>
        </is>
      </c>
      <c r="D44" s="12" t="inlineStr">
        <is>
          <t>注意</t>
        </is>
      </c>
      <c r="E44" s="13" t="inlineStr">
        <is>
          <t>I wasn't paying attention to him.</t>
        </is>
      </c>
      <c r="F44" s="13" t="inlineStr">
        <is>
          <t>私は彼に注意を払っていなかった。</t>
        </is>
      </c>
      <c r="G44" s="13" t="inlineStr">
        <is>
          <t>pay attention to ~「〜に注意を払う」、形: attentive「よく注意している、心づかいの行き届いた」</t>
        </is>
      </c>
    </row>
    <row r="45" ht="25" customHeight="1">
      <c r="A45" s="4" t="n">
        <v>441</v>
      </c>
      <c r="B45" s="5" t="inlineStr">
        <is>
          <t>invoice</t>
        </is>
      </c>
      <c r="C45" s="6" t="inlineStr">
        <is>
          <t>名詞</t>
        </is>
      </c>
      <c r="D45" s="7" t="inlineStr">
        <is>
          <t>請求書</t>
        </is>
      </c>
      <c r="E45" s="8" t="inlineStr">
        <is>
          <t>We've received an invoice for sixty-five dollars.</t>
        </is>
      </c>
      <c r="F45" s="8" t="inlineStr">
        <is>
          <t>私たちは65ドルの請求書を受け取った。</t>
        </is>
      </c>
      <c r="G45" s="8" t="inlineStr">
        <is>
          <t>同: bill「請求書」</t>
        </is>
      </c>
    </row>
    <row r="46" ht="25" customHeight="1">
      <c r="A46" s="9" t="n">
        <v>442</v>
      </c>
      <c r="B46" s="10" t="inlineStr">
        <is>
          <t>prior to</t>
        </is>
      </c>
      <c r="C46" s="11" t="inlineStr">
        <is>
          <t>前置詞</t>
        </is>
      </c>
      <c r="D46" s="12" t="inlineStr">
        <is>
          <t>〜の前に</t>
        </is>
      </c>
      <c r="E46" s="13" t="inlineStr">
        <is>
          <t>Please arrive fifteen minutes prior to your appointment.</t>
        </is>
      </c>
      <c r="F46" s="13" t="inlineStr">
        <is>
          <t>予約時間の15分前に到着するようにしてください。</t>
        </is>
      </c>
      <c r="G46" s="13" t="inlineStr">
        <is>
          <t>同: before「〜の前に」、形: prior「事前の」</t>
        </is>
      </c>
    </row>
    <row r="47" ht="25" customHeight="1">
      <c r="A47" s="4" t="n">
        <v>443</v>
      </c>
      <c r="B47" s="5" t="inlineStr">
        <is>
          <t>refreshment</t>
        </is>
      </c>
      <c r="C47" s="6" t="inlineStr">
        <is>
          <t>名詞</t>
        </is>
      </c>
      <c r="D47" s="7" t="inlineStr">
        <is>
          <t>軽い飲食料</t>
        </is>
      </c>
      <c r="E47" s="8" t="inlineStr">
        <is>
          <t>Refreshments will be served after the meeting.</t>
        </is>
      </c>
      <c r="F47" s="8" t="inlineStr">
        <is>
          <t>会議の後、軽い飲食料が出ます。</t>
        </is>
      </c>
      <c r="G47" s="8" t="inlineStr">
        <is>
          <t>動: refresh「すっきりさせる」、形: refreshing「さわやかな」、名: beverage「飲み物」</t>
        </is>
      </c>
    </row>
    <row r="48" ht="25" customHeight="1">
      <c r="A48" s="9" t="n">
        <v>444</v>
      </c>
      <c r="B48" s="10" t="inlineStr">
        <is>
          <t>trust</t>
        </is>
      </c>
      <c r="C48" s="11" t="inlineStr">
        <is>
          <t>名詞</t>
        </is>
      </c>
      <c r="D48" s="12" t="inlineStr">
        <is>
          <t>信用</t>
        </is>
      </c>
      <c r="E48" s="13" t="inlineStr">
        <is>
          <t>Honesty is the key to building trust.</t>
        </is>
      </c>
      <c r="F48" s="13" t="inlineStr">
        <is>
          <t>誠実さは信用を築く鍵である。</t>
        </is>
      </c>
      <c r="G48" s="13" t="inlineStr">
        <is>
          <t>「信託」という意味もある。動: trust「信用する、当てにする」、形: trustworthy「信用できる、当てにできる」</t>
        </is>
      </c>
    </row>
    <row r="49" ht="25" customHeight="1">
      <c r="A49" s="4" t="n">
        <v>445</v>
      </c>
      <c r="B49" s="5" t="inlineStr">
        <is>
          <t>plumber</t>
        </is>
      </c>
      <c r="C49" s="6" t="inlineStr">
        <is>
          <t>名詞</t>
        </is>
      </c>
      <c r="D49" s="7" t="inlineStr">
        <is>
          <t>配管工</t>
        </is>
      </c>
      <c r="E49" s="8" t="inlineStr">
        <is>
          <t>I called the plumber to fix the sink.</t>
        </is>
      </c>
      <c r="F49" s="8" t="inlineStr">
        <is>
          <t>流しを修理するために配管工に電話した。</t>
        </is>
      </c>
      <c r="G49" s="8" t="inlineStr">
        <is>
          <t>名: plumbing「配管」</t>
        </is>
      </c>
    </row>
    <row r="50" ht="25" customHeight="1">
      <c r="A50" s="9" t="n">
        <v>446</v>
      </c>
      <c r="B50" s="10" t="inlineStr">
        <is>
          <t>update</t>
        </is>
      </c>
      <c r="C50" s="11" t="inlineStr">
        <is>
          <t>動詞</t>
        </is>
      </c>
      <c r="D50" s="12" t="inlineStr">
        <is>
          <t>更新する</t>
        </is>
      </c>
      <c r="E50" s="13" t="inlineStr">
        <is>
          <t>We update our Web site daily.</t>
        </is>
      </c>
      <c r="F50" s="13" t="inlineStr">
        <is>
          <t>私たちは毎日ウェブサイトを更新する。</t>
        </is>
      </c>
      <c r="G50" s="13" t="inlineStr">
        <is>
          <t>「最新の情報を与える、新しいものに替える」という意味もある。名: update「最新情報」</t>
        </is>
      </c>
    </row>
    <row r="51" ht="25" customHeight="1">
      <c r="A51" s="4" t="n">
        <v>447</v>
      </c>
      <c r="B51" s="5" t="inlineStr">
        <is>
          <t>upstairs</t>
        </is>
      </c>
      <c r="C51" s="6" t="inlineStr">
        <is>
          <t>副詞</t>
        </is>
      </c>
      <c r="D51" s="7" t="inlineStr">
        <is>
          <t>上の階に</t>
        </is>
      </c>
      <c r="E51" s="8" t="inlineStr">
        <is>
          <t>We have a meeting room upstairs.</t>
        </is>
      </c>
      <c r="F51" s="8" t="inlineStr">
        <is>
          <t>上の階に会議用の部屋があります。</t>
        </is>
      </c>
      <c r="G51" s="8" t="inlineStr">
        <is>
          <t>形: upstairs「上の階の」、名: upstairs「上の階」、反: downstairs「下の階に」、名: stairs「階段」</t>
        </is>
      </c>
    </row>
    <row r="52" ht="25" customHeight="1">
      <c r="A52" s="9" t="n">
        <v>448</v>
      </c>
      <c r="B52" s="10" t="inlineStr">
        <is>
          <t>manner</t>
        </is>
      </c>
      <c r="C52" s="11" t="inlineStr">
        <is>
          <t>名詞</t>
        </is>
      </c>
      <c r="D52" s="12" t="inlineStr">
        <is>
          <t>態度</t>
        </is>
      </c>
      <c r="E52" s="13" t="inlineStr">
        <is>
          <t>Matt acted in a professional manner.</t>
        </is>
      </c>
      <c r="F52" s="13" t="inlineStr">
        <is>
          <t>マットはプロらしい態度で行動した。</t>
        </is>
      </c>
      <c r="G52" s="13" t="inlineStr">
        <is>
          <t>「やり方、礼儀作法（この意味では複数形mannersになる）」などの意味もある。in a calm manner「落ち着いた態度で」</t>
        </is>
      </c>
    </row>
    <row r="53" ht="25" customHeight="1">
      <c r="A53" s="4" t="n">
        <v>449</v>
      </c>
      <c r="B53" s="5" t="inlineStr">
        <is>
          <t>consider</t>
        </is>
      </c>
      <c r="C53" s="6" t="inlineStr">
        <is>
          <t>動詞</t>
        </is>
      </c>
      <c r="D53" s="7" t="inlineStr">
        <is>
          <t>考える</t>
        </is>
      </c>
      <c r="E53" s="8" t="inlineStr">
        <is>
          <t>I'm considering taking the course.</t>
        </is>
      </c>
      <c r="F53" s="8" t="inlineStr">
        <is>
          <t>私はそのコースを取ろうかどうか考えている。</t>
        </is>
      </c>
      <c r="G53" s="8" t="inlineStr">
        <is>
          <t>consider ~ing「〜することを考える」、名: consideration「考慮、思いやり」、形: considerable「かなりの」、副: considerably「かなり」(=significantly, substantially)</t>
        </is>
      </c>
    </row>
    <row r="54" ht="25" customHeight="1">
      <c r="A54" s="9" t="n">
        <v>450</v>
      </c>
      <c r="B54" s="10" t="inlineStr">
        <is>
          <t>executive</t>
        </is>
      </c>
      <c r="C54" s="11" t="inlineStr">
        <is>
          <t>名詞</t>
        </is>
      </c>
      <c r="D54" s="12" t="inlineStr">
        <is>
          <t>重役</t>
        </is>
      </c>
      <c r="E54" s="13" t="inlineStr">
        <is>
          <t>Ms. James is an executive of a computer company.</t>
        </is>
      </c>
      <c r="F54" s="13" t="inlineStr">
        <is>
          <t>ジェームズさんはコンピュータ会社の重役です。</t>
        </is>
      </c>
      <c r="G54" s="13" t="inlineStr">
        <is>
          <t>形: executive「経営に関する、重役の」、chief executive officer (略: CEO)「最高経営責任者」</t>
        </is>
      </c>
    </row>
    <row r="55" ht="25" customHeight="1">
      <c r="A55" s="4" t="n">
        <v>451</v>
      </c>
      <c r="B55" s="5" t="inlineStr">
        <is>
          <t>means</t>
        </is>
      </c>
      <c r="C55" s="6" t="inlineStr">
        <is>
          <t>名詞</t>
        </is>
      </c>
      <c r="D55" s="7" t="inlineStr">
        <is>
          <t>手段</t>
        </is>
      </c>
      <c r="E55" s="8" t="inlineStr">
        <is>
          <t>Do you have any means of identification?</t>
        </is>
      </c>
      <c r="F55" s="8" t="inlineStr">
        <is>
          <t>身元を証明する手段を何かお持ちですか。</t>
        </is>
      </c>
      <c r="G55" s="8" t="inlineStr">
        <is>
          <t>meansは単数形でもsが付く。by all means「いかなる犠牲を払っても」</t>
        </is>
      </c>
    </row>
    <row r="56" ht="25" customHeight="1">
      <c r="A56" s="9" t="n">
        <v>452</v>
      </c>
      <c r="B56" s="10" t="inlineStr">
        <is>
          <t>regarding</t>
        </is>
      </c>
      <c r="C56" s="11" t="inlineStr">
        <is>
          <t>前置詞</t>
        </is>
      </c>
      <c r="D56" s="12" t="inlineStr">
        <is>
          <t>〜に関する</t>
        </is>
      </c>
      <c r="E56" s="13" t="inlineStr">
        <is>
          <t>We have received your letter regarding the defective products.</t>
        </is>
      </c>
      <c r="F56" s="13" t="inlineStr">
        <is>
          <t>当社は欠陥商品に関するあなたからの手紙を受け取りました。</t>
        </is>
      </c>
      <c r="G56" s="13" t="inlineStr">
        <is>
          <t>同: about, concerning, with regard to「〜に関する」、動: regard「〜と見なす」、名: regard「尊敬、関心」</t>
        </is>
      </c>
    </row>
    <row r="57" ht="25" customHeight="1">
      <c r="A57" s="4" t="n">
        <v>453</v>
      </c>
      <c r="B57" s="5" t="inlineStr">
        <is>
          <t>association</t>
        </is>
      </c>
      <c r="C57" s="6" t="inlineStr">
        <is>
          <t>名詞</t>
        </is>
      </c>
      <c r="D57" s="7" t="inlineStr">
        <is>
          <t>提携</t>
        </is>
      </c>
      <c r="E57" s="8" t="inlineStr">
        <is>
          <t>The book was published in association with the National Museum.</t>
        </is>
      </c>
      <c r="F57" s="8" t="inlineStr">
        <is>
          <t>この本は国立博物館の協力によって出版された。</t>
        </is>
      </c>
      <c r="G57" s="8" t="inlineStr">
        <is>
          <t>「関連、協会、連想」などの意味もある。in association with ~「〜と協力して(=in cooperation with)」、動: associate「関連付ける」、名: associate「仲間、共同経営者」</t>
        </is>
      </c>
    </row>
    <row r="58" ht="25" customHeight="1">
      <c r="A58" s="9" t="n">
        <v>454</v>
      </c>
      <c r="B58" s="10" t="inlineStr">
        <is>
          <t>budget</t>
        </is>
      </c>
      <c r="C58" s="11" t="inlineStr">
        <is>
          <t>名詞</t>
        </is>
      </c>
      <c r="D58" s="12" t="inlineStr">
        <is>
          <t>予算</t>
        </is>
      </c>
      <c r="E58" s="13" t="inlineStr">
        <is>
          <t>They're reviewing the budget for next year.</t>
        </is>
      </c>
      <c r="F58" s="13" t="inlineStr">
        <is>
          <t>彼らは来年度の予算案を検討している。</t>
        </is>
      </c>
      <c r="G58" s="13" t="inlineStr">
        <is>
          <t>動: budget「割り当てる」、形: budget「低価格の」(=cheap, inexpensive, affordable, reasonable)</t>
        </is>
      </c>
    </row>
    <row r="59" ht="25" customHeight="1">
      <c r="A59" s="4" t="n">
        <v>455</v>
      </c>
      <c r="B59" s="5" t="inlineStr">
        <is>
          <t>contain</t>
        </is>
      </c>
      <c r="C59" s="6" t="inlineStr">
        <is>
          <t>動詞</t>
        </is>
      </c>
      <c r="D59" s="7" t="inlineStr">
        <is>
          <t>含む</t>
        </is>
      </c>
      <c r="E59" s="8" t="inlineStr">
        <is>
          <t>This report contains information about the company's financial condition.</t>
        </is>
      </c>
      <c r="F59" s="8" t="inlineStr">
        <is>
          <t>この報告書には会社の財政状況に関する情報が含まれています。</t>
        </is>
      </c>
      <c r="G59" s="8" t="inlineStr">
        <is>
          <t>「中に入っている」という意味もある。名: container「容器」</t>
        </is>
      </c>
    </row>
    <row r="60" ht="25" customHeight="1">
      <c r="A60" s="9" t="n">
        <v>456</v>
      </c>
      <c r="B60" s="10" t="inlineStr">
        <is>
          <t>remain</t>
        </is>
      </c>
      <c r="C60" s="11" t="inlineStr">
        <is>
          <t>動詞</t>
        </is>
      </c>
      <c r="D60" s="12" t="inlineStr">
        <is>
          <t>〜のままでいる</t>
        </is>
      </c>
      <c r="E60" s="13" t="inlineStr">
        <is>
          <t>Please remain seated during take-off.</t>
        </is>
      </c>
      <c r="F60" s="13" t="inlineStr">
        <is>
          <t>離陸の際、座ったままでいてください。</t>
        </is>
      </c>
      <c r="G60" s="13" t="inlineStr">
        <is>
          <t>「とどまる」(=stay)という意味もある。名: remainder「残り」(=rest)</t>
        </is>
      </c>
    </row>
    <row r="61" ht="25" customHeight="1">
      <c r="A61" s="4" t="n">
        <v>457</v>
      </c>
      <c r="B61" s="5" t="inlineStr">
        <is>
          <t>chemical</t>
        </is>
      </c>
      <c r="C61" s="6" t="inlineStr">
        <is>
          <t>名詞</t>
        </is>
      </c>
      <c r="D61" s="7" t="inlineStr">
        <is>
          <t>化学薬品</t>
        </is>
      </c>
      <c r="E61" s="8" t="inlineStr">
        <is>
          <t>We use dangerous chemicals in our plant.</t>
        </is>
      </c>
      <c r="F61" s="8" t="inlineStr">
        <is>
          <t>当社の工場では危険な化学薬品を使っている。</t>
        </is>
      </c>
      <c r="G61" s="8" t="inlineStr">
        <is>
          <t>agricultural chemical「農薬」、形: chemical「化学の、化学的な」、名: chemistry「化学」、名: chemist「化学者」</t>
        </is>
      </c>
    </row>
    <row r="62" ht="25" customHeight="1">
      <c r="A62" s="9" t="n">
        <v>458</v>
      </c>
      <c r="B62" s="10" t="inlineStr">
        <is>
          <t>demonstrate</t>
        </is>
      </c>
      <c r="C62" s="11" t="inlineStr">
        <is>
          <t>動詞</t>
        </is>
      </c>
      <c r="D62" s="12" t="inlineStr">
        <is>
          <t>実地説明をする</t>
        </is>
      </c>
      <c r="E62" s="13" t="inlineStr">
        <is>
          <t>I'll be demonstrating some of our new products.</t>
        </is>
      </c>
      <c r="F62" s="13" t="inlineStr">
        <is>
          <t>当社の新製品のいくつかを取り出して実地説明いたします。</t>
        </is>
      </c>
      <c r="G62" s="13" t="inlineStr">
        <is>
          <t>「証明する、はっきりと示す」という意味もある。名: demonstration「デモンストレーション、実演」</t>
        </is>
      </c>
    </row>
    <row r="63" ht="25" customHeight="1">
      <c r="A63" s="4" t="n">
        <v>459</v>
      </c>
      <c r="B63" s="5" t="inlineStr">
        <is>
          <t>qualified</t>
        </is>
      </c>
      <c r="C63" s="6" t="inlineStr">
        <is>
          <t>形容詞</t>
        </is>
      </c>
      <c r="D63" s="7" t="inlineStr">
        <is>
          <t>適任である</t>
        </is>
      </c>
      <c r="E63" s="8" t="inlineStr">
        <is>
          <t>Tom is qualified for the position.</t>
        </is>
      </c>
      <c r="F63" s="8" t="inlineStr">
        <is>
          <t>トムはその職に適任である。</t>
        </is>
      </c>
      <c r="G63" s="8" t="inlineStr">
        <is>
          <t>「資格を持っている」という意味もある。動: qualify「資格を得る、資格を持つ、資格を与える」、名: qualification「資格、適任」</t>
        </is>
      </c>
    </row>
    <row r="64" ht="25" customHeight="1">
      <c r="A64" s="9" t="n">
        <v>460</v>
      </c>
      <c r="B64" s="10" t="inlineStr">
        <is>
          <t>revise</t>
        </is>
      </c>
      <c r="C64" s="11" t="inlineStr">
        <is>
          <t>動詞</t>
        </is>
      </c>
      <c r="D64" s="12" t="inlineStr">
        <is>
          <t>修正する</t>
        </is>
      </c>
      <c r="E64" s="13" t="inlineStr">
        <is>
          <t>We have to revise the budget.</t>
        </is>
      </c>
      <c r="F64" s="13" t="inlineStr">
        <is>
          <t>私たちは予算を修正する必要がある。</t>
        </is>
      </c>
      <c r="G64" s="13" t="inlineStr">
        <is>
          <t>「改訂する、復習する」という意味もある。名: revision「変更、見直し」</t>
        </is>
      </c>
    </row>
    <row r="65" ht="25" customHeight="1">
      <c r="A65" s="4" t="n">
        <v>461</v>
      </c>
      <c r="B65" s="5" t="inlineStr">
        <is>
          <t>relaxed</t>
        </is>
      </c>
      <c r="C65" s="6" t="inlineStr">
        <is>
          <t>形容詞</t>
        </is>
      </c>
      <c r="D65" s="7" t="inlineStr">
        <is>
          <t>くつろいだ</t>
        </is>
      </c>
      <c r="E65" s="8" t="inlineStr">
        <is>
          <t>When she entered the room, she looked relaxed.</t>
        </is>
      </c>
      <c r="F65" s="8" t="inlineStr">
        <is>
          <t>彼女は部屋に入ってきたとき、くつろいだように見えた。</t>
        </is>
      </c>
      <c r="G65" s="8" t="inlineStr">
        <is>
          <t>動: relax「リラックスする」、名: relaxation「くつろぎ、緩和」</t>
        </is>
      </c>
    </row>
    <row r="66" ht="25" customHeight="1">
      <c r="A66" s="9" t="n">
        <v>462</v>
      </c>
      <c r="B66" s="10" t="inlineStr">
        <is>
          <t>upgrade</t>
        </is>
      </c>
      <c r="C66" s="11" t="inlineStr">
        <is>
          <t>動詞</t>
        </is>
      </c>
      <c r="D66" s="12" t="inlineStr">
        <is>
          <t>改良する</t>
        </is>
      </c>
      <c r="E66" s="13" t="inlineStr">
        <is>
          <t>We can't afford to upgrade our facilities.</t>
        </is>
      </c>
      <c r="F66" s="13" t="inlineStr">
        <is>
          <t>私たちは設備を改良する余裕がない。</t>
        </is>
      </c>
      <c r="G66" s="13" t="inlineStr">
        <is>
          <t>「向上させる、格上げする、アップグレードする」などの意味もある。名: upgrade「改良、アップグレード」</t>
        </is>
      </c>
    </row>
    <row r="67" ht="25" customHeight="1">
      <c r="A67" s="4" t="n">
        <v>463</v>
      </c>
      <c r="B67" s="5" t="inlineStr">
        <is>
          <t>accompany</t>
        </is>
      </c>
      <c r="C67" s="6" t="inlineStr">
        <is>
          <t>動詞</t>
        </is>
      </c>
      <c r="D67" s="7" t="inlineStr">
        <is>
          <t>同行する</t>
        </is>
      </c>
      <c r="E67" s="8" t="inlineStr">
        <is>
          <t>Betty will accompany me to the conference.</t>
        </is>
      </c>
      <c r="F67" s="8" t="inlineStr">
        <is>
          <t>ベティーは私に同行して会議に行く。</t>
        </is>
      </c>
      <c r="G67" s="8" t="inlineStr">
        <is>
          <t>同: go with ~「〜と一緒に行く」</t>
        </is>
      </c>
    </row>
    <row r="68" ht="25" customHeight="1">
      <c r="A68" s="9" t="n">
        <v>464</v>
      </c>
      <c r="B68" s="10" t="inlineStr">
        <is>
          <t>attitude</t>
        </is>
      </c>
      <c r="C68" s="11" t="inlineStr">
        <is>
          <t>名詞</t>
        </is>
      </c>
      <c r="D68" s="12" t="inlineStr">
        <is>
          <t>態度(姿勢)</t>
        </is>
      </c>
      <c r="E68" s="13" t="inlineStr">
        <is>
          <t>He has a positive attitude to his work.</t>
        </is>
      </c>
      <c r="F68" s="13" t="inlineStr">
        <is>
          <t>彼は自分の仕事に対して積極的な態度を取っている。</t>
        </is>
      </c>
      <c r="G68" s="13" t="inlineStr">
        <is>
          <t>「見方、姿勢」という意味もある。後ろに続く前置詞はtoまたはtoward(s)</t>
        </is>
      </c>
    </row>
    <row r="69" ht="25" customHeight="1">
      <c r="A69" s="4" t="n">
        <v>465</v>
      </c>
      <c r="B69" s="5" t="inlineStr">
        <is>
          <t>commute</t>
        </is>
      </c>
      <c r="C69" s="6" t="inlineStr">
        <is>
          <t>動詞</t>
        </is>
      </c>
      <c r="D69" s="7" t="inlineStr">
        <is>
          <t>通勤する</t>
        </is>
      </c>
      <c r="E69" s="8" t="inlineStr">
        <is>
          <t>Amanda commutes to Montreal every day.</t>
        </is>
      </c>
      <c r="F69" s="8" t="inlineStr">
        <is>
          <t>アマンダは毎日モントリオールに通っている。</t>
        </is>
      </c>
      <c r="G69" s="8" t="inlineStr">
        <is>
          <t>名: commute「通勤、通学」、名: commuter「通う人」、commuter train「通勤列車」</t>
        </is>
      </c>
    </row>
    <row r="70" ht="25" customHeight="1">
      <c r="A70" s="9" t="n">
        <v>466</v>
      </c>
      <c r="B70" s="10" t="inlineStr">
        <is>
          <t>competitive</t>
        </is>
      </c>
      <c r="C70" s="11" t="inlineStr">
        <is>
          <t>形容詞</t>
        </is>
      </c>
      <c r="D70" s="12" t="inlineStr">
        <is>
          <t>競争力のある</t>
        </is>
      </c>
      <c r="E70" s="13" t="inlineStr">
        <is>
          <t>We need to cut labor costs to stay competitive.</t>
        </is>
      </c>
      <c r="F70" s="13" t="inlineStr">
        <is>
          <t>私たちは競争力を保つため、人件費を削減する必要がある。</t>
        </is>
      </c>
      <c r="G70" s="13" t="inlineStr">
        <is>
          <t>「競争が激しい、競争心の強い、他に負けない」という意味もある。動: compete「競う」、名: competition「競争」、名: competitor「競争相手、ライバル」</t>
        </is>
      </c>
    </row>
    <row r="71" ht="25" customHeight="1">
      <c r="A71" s="4" t="n">
        <v>467</v>
      </c>
      <c r="B71" s="5" t="inlineStr">
        <is>
          <t>refuse</t>
        </is>
      </c>
      <c r="C71" s="6" t="inlineStr">
        <is>
          <t>動詞</t>
        </is>
      </c>
      <c r="D71" s="7" t="inlineStr">
        <is>
          <t>拒否する</t>
        </is>
      </c>
      <c r="E71" s="8" t="inlineStr">
        <is>
          <t>He refused to speak with journalists.</t>
        </is>
      </c>
      <c r="F71" s="8" t="inlineStr">
        <is>
          <t>彼は報道関係者と話をすることを拒絶した。</t>
        </is>
      </c>
      <c r="G71" s="8" t="inlineStr">
        <is>
          <t>「（申し出などを）断る」という意味もある。反: accept「受け入れる」、名: refusal「拒否」</t>
        </is>
      </c>
    </row>
    <row r="72" ht="25" customHeight="1">
      <c r="A72" s="9" t="n">
        <v>468</v>
      </c>
      <c r="B72" s="10" t="inlineStr">
        <is>
          <t>subscribe</t>
        </is>
      </c>
      <c r="C72" s="11" t="inlineStr">
        <is>
          <t>動詞</t>
        </is>
      </c>
      <c r="D72" s="12" t="inlineStr">
        <is>
          <t>定期購読する</t>
        </is>
      </c>
      <c r="E72" s="13" t="inlineStr">
        <is>
          <t>I subscribe to Business Weekly.</t>
        </is>
      </c>
      <c r="F72" s="13" t="inlineStr">
        <is>
          <t>私はビジネスウィークリーを定期購読している。</t>
        </is>
      </c>
      <c r="G72" s="13" t="inlineStr">
        <is>
          <t>後ろに続く前置詞はto。名: subscription「定期購読」、名: subscriber「定期購読者」</t>
        </is>
      </c>
    </row>
    <row r="73" ht="25" customHeight="1">
      <c r="A73" s="4" t="n">
        <v>469</v>
      </c>
      <c r="B73" s="5" t="inlineStr">
        <is>
          <t>process</t>
        </is>
      </c>
      <c r="C73" s="6" t="inlineStr">
        <is>
          <t>動詞</t>
        </is>
      </c>
      <c r="D73" s="7" t="inlineStr">
        <is>
          <t>処理する</t>
        </is>
      </c>
      <c r="E73" s="8" t="inlineStr">
        <is>
          <t>It will take two weeks to process your visa application.</t>
        </is>
      </c>
      <c r="F73" s="8" t="inlineStr">
        <is>
          <t>あなたのビザ申請を処理するのに2週間かかります。</t>
        </is>
      </c>
      <c r="G73" s="8" t="inlineStr">
        <is>
          <t>「加工する」という意味もある。名: process「過程、作用、進行」、形: processed「加工された」</t>
        </is>
      </c>
    </row>
    <row r="74" ht="25" customHeight="1">
      <c r="A74" s="9" t="n">
        <v>470</v>
      </c>
      <c r="B74" s="10" t="inlineStr">
        <is>
          <t>comment</t>
        </is>
      </c>
      <c r="C74" s="11" t="inlineStr">
        <is>
          <t>名詞</t>
        </is>
      </c>
      <c r="D74" s="12" t="inlineStr">
        <is>
          <t>意見</t>
        </is>
      </c>
      <c r="E74" s="13" t="inlineStr">
        <is>
          <t>He made helpful comments on my proposal.</t>
        </is>
      </c>
      <c r="F74" s="13" t="inlineStr">
        <is>
          <t>彼は私の企画書に有益な意見を出してくれた。</t>
        </is>
      </c>
      <c r="G74" s="13" t="inlineStr">
        <is>
          <t>動: comment「意見を述べる」。名詞・動詞ともに後ろに前置詞onが続く</t>
        </is>
      </c>
    </row>
    <row r="75" ht="25" customHeight="1">
      <c r="A75" s="4" t="n">
        <v>471</v>
      </c>
      <c r="B75" s="5" t="inlineStr">
        <is>
          <t>necessary</t>
        </is>
      </c>
      <c r="C75" s="6" t="inlineStr">
        <is>
          <t>形容詞</t>
        </is>
      </c>
      <c r="D75" s="7" t="inlineStr">
        <is>
          <t>必要な</t>
        </is>
      </c>
      <c r="E75" s="8" t="inlineStr">
        <is>
          <t>Is it necessary to fill out this form?</t>
        </is>
      </c>
      <c r="F75" s="8" t="inlineStr">
        <is>
          <t>この用紙に記入する必要がありますか。</t>
        </is>
      </c>
      <c r="G75" s="8" t="inlineStr">
        <is>
          <t>「必然的な」という意味もある。同: essential, vital「絶対必要な」、名: necessity「必要、必需品」</t>
        </is>
      </c>
    </row>
    <row r="76" ht="25" customHeight="1">
      <c r="A76" s="9" t="n">
        <v>472</v>
      </c>
      <c r="B76" s="10" t="inlineStr">
        <is>
          <t>respectively</t>
        </is>
      </c>
      <c r="C76" s="11" t="inlineStr">
        <is>
          <t>副詞</t>
        </is>
      </c>
      <c r="D76" s="12" t="inlineStr">
        <is>
          <t>それぞれ</t>
        </is>
      </c>
      <c r="E76" s="13" t="inlineStr">
        <is>
          <t>Auckland and Sydney were ranked fifth and tenth, respectively.</t>
        </is>
      </c>
      <c r="F76" s="13" t="inlineStr">
        <is>
          <t>オークランドとシドニーはそれぞれ5位と10位にランク付けされた。</t>
        </is>
      </c>
      <c r="G76" s="13" t="inlineStr">
        <is>
          <t>形: respective「それぞれの」、関: in respect of ~「〜に関して」</t>
        </is>
      </c>
    </row>
    <row r="77" ht="25" customHeight="1">
      <c r="A77" s="4" t="n">
        <v>473</v>
      </c>
      <c r="B77" s="5" t="inlineStr">
        <is>
          <t>probable</t>
        </is>
      </c>
      <c r="C77" s="6" t="inlineStr">
        <is>
          <t>形容詞</t>
        </is>
      </c>
      <c r="D77" s="7" t="inlineStr">
        <is>
          <t>起こりそうな</t>
        </is>
      </c>
      <c r="E77" s="8" t="inlineStr">
        <is>
          <t>It is probable that unemployment will rise further.</t>
        </is>
      </c>
      <c r="F77" s="8" t="inlineStr">
        <is>
          <t>失業率はさらに上がる見込みだ。</t>
        </is>
      </c>
      <c r="G77" s="8" t="inlineStr">
        <is>
          <t>同: likely「起こりそうな」、関: possible「可能性がある」（probableより可能性が低い）、名: probability「見込み」(=likelihood)、副: probably「多分、おそらく」</t>
        </is>
      </c>
    </row>
    <row r="78" ht="25" customHeight="1">
      <c r="A78" s="9" t="n">
        <v>474</v>
      </c>
      <c r="B78" s="10" t="inlineStr">
        <is>
          <t>efficient</t>
        </is>
      </c>
      <c r="C78" s="11" t="inlineStr">
        <is>
          <t>形容詞</t>
        </is>
      </c>
      <c r="D78" s="12" t="inlineStr">
        <is>
          <t>効率のよい</t>
        </is>
      </c>
      <c r="E78" s="13" t="inlineStr">
        <is>
          <t>We need more efficient methods of collecting data.</t>
        </is>
      </c>
      <c r="F78" s="13" t="inlineStr">
        <is>
          <t>私たちはもっと効率のよいデータ収集方法が必要です。</t>
        </is>
      </c>
      <c r="G78" s="13" t="inlineStr">
        <is>
          <t>「有能な」という意味もある。energy efficient「燃費のよい」、名: efficiency「効率」、副: efficiently「効率的に」</t>
        </is>
      </c>
    </row>
    <row r="79" ht="25" customHeight="1">
      <c r="A79" s="4" t="n">
        <v>475</v>
      </c>
      <c r="B79" s="5" t="inlineStr">
        <is>
          <t>identify</t>
        </is>
      </c>
      <c r="C79" s="6" t="inlineStr">
        <is>
          <t>動詞</t>
        </is>
      </c>
      <c r="D79" s="7" t="inlineStr">
        <is>
          <t>明らかにする</t>
        </is>
      </c>
      <c r="E79" s="8" t="inlineStr">
        <is>
          <t>First, we must identify problem areas.</t>
        </is>
      </c>
      <c r="F79" s="8" t="inlineStr">
        <is>
          <t>はじめに私たちは問題点を明らかにしなければならない。</t>
        </is>
      </c>
      <c r="G79" s="8" t="inlineStr">
        <is>
          <t>「身元を確認する」という意味もある。名: identification「身分証明」</t>
        </is>
      </c>
    </row>
    <row r="80" ht="25" customHeight="1">
      <c r="A80" s="9" t="n">
        <v>476</v>
      </c>
      <c r="B80" s="10" t="inlineStr">
        <is>
          <t>particular</t>
        </is>
      </c>
      <c r="C80" s="11" t="inlineStr">
        <is>
          <t>形容詞</t>
        </is>
      </c>
      <c r="D80" s="12" t="inlineStr">
        <is>
          <t>特定の</t>
        </is>
      </c>
      <c r="E80" s="13" t="inlineStr">
        <is>
          <t>Is there any particular movie you want to see?</t>
        </is>
      </c>
      <c r="F80" s="13" t="inlineStr">
        <is>
          <t>何か特に見たい映画はありますか。</t>
        </is>
      </c>
      <c r="G80" s="13" t="inlineStr">
        <is>
          <t>同: specific, certain「特定の」、副: particularly「特に」</t>
        </is>
      </c>
    </row>
    <row r="81" ht="25" customHeight="1">
      <c r="A81" s="4" t="n">
        <v>477</v>
      </c>
      <c r="B81" s="5" t="inlineStr">
        <is>
          <t>relocate</t>
        </is>
      </c>
      <c r="C81" s="6" t="inlineStr">
        <is>
          <t>動詞</t>
        </is>
      </c>
      <c r="D81" s="7" t="inlineStr">
        <is>
          <t>移転する</t>
        </is>
      </c>
      <c r="E81" s="8" t="inlineStr">
        <is>
          <t>The company relocated to Los Angeles.</t>
        </is>
      </c>
      <c r="F81" s="8" t="inlineStr">
        <is>
          <t>その会社はロサンゼルスに移転した。</t>
        </is>
      </c>
      <c r="G81" s="8" t="inlineStr">
        <is>
          <t>relocate to 〈地名〉「〜へ移転する」、同: move to「〜へ引っ越す」、名: relocation「移転」</t>
        </is>
      </c>
    </row>
    <row r="82" ht="25" customHeight="1">
      <c r="A82" s="9" t="n">
        <v>478</v>
      </c>
      <c r="B82" s="10" t="inlineStr">
        <is>
          <t>remind</t>
        </is>
      </c>
      <c r="C82" s="11" t="inlineStr">
        <is>
          <t>動詞</t>
        </is>
      </c>
      <c r="D82" s="12" t="inlineStr">
        <is>
          <t>思い出させる</t>
        </is>
      </c>
      <c r="E82" s="13" t="inlineStr">
        <is>
          <t>My secretary reminded me about the meeting tomorrow.</t>
        </is>
      </c>
      <c r="F82" s="13" t="inlineStr">
        <is>
          <t>秘書が私に明日の会議のことを思い出させてくれた。</t>
        </is>
      </c>
      <c r="G82" s="13" t="inlineStr">
        <is>
          <t>関: remember「覚えている」、名: reminder「思い出させるもの」</t>
        </is>
      </c>
    </row>
    <row r="83" ht="25" customHeight="1">
      <c r="A83" s="4" t="n">
        <v>479</v>
      </c>
      <c r="B83" s="5" t="inlineStr">
        <is>
          <t>compared with</t>
        </is>
      </c>
      <c r="C83" s="6" t="inlineStr">
        <is>
          <t>熟語</t>
        </is>
      </c>
      <c r="D83" s="7" t="inlineStr">
        <is>
          <t>〜と比べて</t>
        </is>
      </c>
      <c r="E83" s="8" t="inlineStr">
        <is>
          <t>Our sales rose ten percent compared with last year.</t>
        </is>
      </c>
      <c r="F83" s="8" t="inlineStr">
        <is>
          <t>当社の売り上げは昨年と比べ、10パーセント上がった。</t>
        </is>
      </c>
      <c r="G83" s="8" t="inlineStr">
        <is>
          <t>compared to でも同じ意味になる。名: comparison「比較」</t>
        </is>
      </c>
    </row>
    <row r="84" ht="25" customHeight="1">
      <c r="A84" s="9" t="n">
        <v>480</v>
      </c>
      <c r="B84" s="10" t="inlineStr">
        <is>
          <t>establish</t>
        </is>
      </c>
      <c r="C84" s="11" t="inlineStr">
        <is>
          <t>動詞</t>
        </is>
      </c>
      <c r="D84" s="12" t="inlineStr">
        <is>
          <t>設立する</t>
        </is>
      </c>
      <c r="E84" s="13" t="inlineStr">
        <is>
          <t>The company was established in 1967.</t>
        </is>
      </c>
      <c r="F84" s="13" t="inlineStr">
        <is>
          <t>その会社は1967年に設立された。</t>
        </is>
      </c>
      <c r="G84" s="13" t="inlineStr">
        <is>
          <t>「確立する、証明する、認めるせる」などの意味もある。同: found「設立する」、名: establishment「設立、機関、権力層」、形: established「すでにある、定評のある」</t>
        </is>
      </c>
    </row>
    <row r="85" ht="25" customHeight="1">
      <c r="A85" s="4" t="n">
        <v>481</v>
      </c>
      <c r="B85" s="5" t="inlineStr">
        <is>
          <t>point out</t>
        </is>
      </c>
      <c r="C85" s="6" t="inlineStr">
        <is>
          <t>句動詞</t>
        </is>
      </c>
      <c r="D85" s="7" t="inlineStr">
        <is>
          <t>指摘する</t>
        </is>
      </c>
      <c r="E85" s="8" t="inlineStr">
        <is>
          <t>He pointed out that these data are inaccurate.</t>
        </is>
      </c>
      <c r="F85" s="8" t="inlineStr">
        <is>
          <t>彼はこれらのデータが正確でないことを指摘した。</t>
        </is>
      </c>
      <c r="G85" s="8" t="inlineStr">
        <is>
          <t>point out A to ~「〜にAを指摘する」</t>
        </is>
      </c>
    </row>
    <row r="86" ht="25" customHeight="1">
      <c r="A86" s="9" t="n">
        <v>482</v>
      </c>
      <c r="B86" s="10" t="inlineStr">
        <is>
          <t>property</t>
        </is>
      </c>
      <c r="C86" s="11" t="inlineStr">
        <is>
          <t>名詞</t>
        </is>
      </c>
      <c r="D86" s="12" t="inlineStr">
        <is>
          <t>不動産</t>
        </is>
      </c>
      <c r="E86" s="13" t="inlineStr">
        <is>
          <t>Property prices are falling this month.</t>
        </is>
      </c>
      <c r="F86" s="13" t="inlineStr">
        <is>
          <t>今月、不動産の価格は下がっている。</t>
        </is>
      </c>
      <c r="G86" s="13" t="inlineStr">
        <is>
          <t>「財産、所有物、特性」などの意味もある。</t>
        </is>
      </c>
    </row>
    <row r="87" ht="25" customHeight="1">
      <c r="A87" s="4" t="n">
        <v>483</v>
      </c>
      <c r="B87" s="5" t="inlineStr">
        <is>
          <t>restore</t>
        </is>
      </c>
      <c r="C87" s="6" t="inlineStr">
        <is>
          <t>動詞</t>
        </is>
      </c>
      <c r="D87" s="7" t="inlineStr">
        <is>
          <t>修復する</t>
        </is>
      </c>
      <c r="E87" s="8" t="inlineStr">
        <is>
          <t>The building was restored after the fire.</t>
        </is>
      </c>
      <c r="F87" s="8" t="inlineStr">
        <is>
          <t>その建物は火事のあと、修復された。</t>
        </is>
      </c>
      <c r="G87" s="8" t="inlineStr">
        <is>
          <t>「元の状態に戻す」という意味がある。名: restoration「復元、回復、復興、返還」</t>
        </is>
      </c>
    </row>
    <row r="88" ht="25" customHeight="1">
      <c r="A88" s="9" t="n">
        <v>484</v>
      </c>
      <c r="B88" s="10" t="inlineStr">
        <is>
          <t>status</t>
        </is>
      </c>
      <c r="C88" s="11" t="inlineStr">
        <is>
          <t>名詞</t>
        </is>
      </c>
      <c r="D88" s="12" t="inlineStr">
        <is>
          <t>状況</t>
        </is>
      </c>
      <c r="E88" s="13" t="inlineStr">
        <is>
          <t>What's the status of our order?</t>
        </is>
      </c>
      <c r="F88" s="13" t="inlineStr">
        <is>
          <t>私たちの注文品の状況はどうなっていますか。</t>
        </is>
      </c>
      <c r="G88" s="13" t="inlineStr">
        <is>
          <t>「地位」という意味もある。status quo「現状」</t>
        </is>
      </c>
    </row>
    <row r="89" ht="25" customHeight="1">
      <c r="A89" s="4" t="n">
        <v>485</v>
      </c>
      <c r="B89" s="5" t="inlineStr">
        <is>
          <t>expense</t>
        </is>
      </c>
      <c r="C89" s="6" t="inlineStr">
        <is>
          <t>名詞</t>
        </is>
      </c>
      <c r="D89" s="7" t="inlineStr">
        <is>
          <t>経費</t>
        </is>
      </c>
      <c r="E89" s="8" t="inlineStr">
        <is>
          <t>The company will cover travel expenses.</t>
        </is>
      </c>
      <c r="F89" s="8" t="inlineStr">
        <is>
          <t>会社が旅費を出してくれます。</t>
        </is>
      </c>
      <c r="G89" s="8" t="inlineStr">
        <is>
          <t>関: expenditure「支出」、形: expensive「高価な」(=costly, pricey)</t>
        </is>
      </c>
    </row>
    <row r="90" ht="25" customHeight="1">
      <c r="A90" s="9" t="n">
        <v>486</v>
      </c>
      <c r="B90" s="10" t="inlineStr">
        <is>
          <t>focus</t>
        </is>
      </c>
      <c r="C90" s="11" t="inlineStr">
        <is>
          <t>動詞</t>
        </is>
      </c>
      <c r="D90" s="12" t="inlineStr">
        <is>
          <t>焦点を合わせる</t>
        </is>
      </c>
      <c r="E90" s="13" t="inlineStr">
        <is>
          <t>The conference focuses on environmental issues.</t>
        </is>
      </c>
      <c r="F90" s="13" t="inlineStr">
        <is>
          <t>その会議は環境問題に焦点を合わせている。</t>
        </is>
      </c>
      <c r="G90" s="13" t="inlineStr">
        <is>
          <t>焦点を合わせる対象は前置詞onによって導く。「集中させる」という意味もある。名: focus「焦点、中心」</t>
        </is>
      </c>
    </row>
    <row r="91" ht="25" customHeight="1">
      <c r="A91" s="4" t="n">
        <v>487</v>
      </c>
      <c r="B91" s="5" t="inlineStr">
        <is>
          <t>laboratory</t>
        </is>
      </c>
      <c r="C91" s="6" t="inlineStr">
        <is>
          <t>名詞</t>
        </is>
      </c>
      <c r="D91" s="7" t="inlineStr">
        <is>
          <t>研究所</t>
        </is>
      </c>
      <c r="E91" s="8" t="inlineStr">
        <is>
          <t>The company has a research laboratory in Miami.</t>
        </is>
      </c>
      <c r="F91" s="8" t="inlineStr">
        <is>
          <t>その会社はマイアミに研究所を持っている。</t>
        </is>
      </c>
      <c r="G91" s="8" t="inlineStr">
        <is>
          <t>「実験室」という意味にもなる。略: lab</t>
        </is>
      </c>
    </row>
    <row r="92" ht="25" customHeight="1">
      <c r="A92" s="9" t="n">
        <v>488</v>
      </c>
      <c r="B92" s="10" t="inlineStr">
        <is>
          <t>obtain</t>
        </is>
      </c>
      <c r="C92" s="11" t="inlineStr">
        <is>
          <t>動詞</t>
        </is>
      </c>
      <c r="D92" s="12" t="inlineStr">
        <is>
          <t>得る</t>
        </is>
      </c>
      <c r="E92" s="13" t="inlineStr">
        <is>
          <t>You must obtain permission from the publisher.</t>
        </is>
      </c>
      <c r="F92" s="13" t="inlineStr">
        <is>
          <t>あなたは出版社から許可を得なければなりません。</t>
        </is>
      </c>
      <c r="G92" s="13" t="inlineStr">
        <is>
          <t>同: get「得る」、形: obtainable「手に入れることができる」</t>
        </is>
      </c>
    </row>
    <row r="93" ht="25" customHeight="1">
      <c r="A93" s="4" t="n">
        <v>489</v>
      </c>
      <c r="B93" s="5" t="inlineStr">
        <is>
          <t>reputation</t>
        </is>
      </c>
      <c r="C93" s="6" t="inlineStr">
        <is>
          <t>名詞</t>
        </is>
      </c>
      <c r="D93" s="7" t="inlineStr">
        <is>
          <t>評判</t>
        </is>
      </c>
      <c r="E93" s="8" t="inlineStr">
        <is>
          <t>We have a reputation for quality.</t>
        </is>
      </c>
      <c r="F93" s="8" t="inlineStr">
        <is>
          <t>当社は品質の良さで評判を得ている。</t>
        </is>
      </c>
      <c r="G93" s="8" t="inlineStr">
        <is>
          <t>形: reputed「〜といわれている」</t>
        </is>
      </c>
    </row>
    <row r="94" ht="25" customHeight="1">
      <c r="A94" s="9" t="n">
        <v>490</v>
      </c>
      <c r="B94" s="10" t="inlineStr">
        <is>
          <t>retail</t>
        </is>
      </c>
      <c r="C94" s="11" t="inlineStr">
        <is>
          <t>名詞</t>
        </is>
      </c>
      <c r="D94" s="12" t="inlineStr">
        <is>
          <t>小売り</t>
        </is>
      </c>
      <c r="E94" s="13" t="inlineStr">
        <is>
          <t>You can buy these products at retail stores.</t>
        </is>
      </c>
      <c r="F94" s="13" t="inlineStr">
        <is>
          <t>これらの製品は小売店でご購入いただけます。</t>
        </is>
      </c>
      <c r="G94" s="13" t="inlineStr">
        <is>
          <t>関: wholesale「卸売り」、名: retailer「小売業者」、関: wholesaler「卸売り業者」</t>
        </is>
      </c>
    </row>
    <row r="95" ht="25" customHeight="1">
      <c r="A95" s="4" t="n">
        <v>491</v>
      </c>
      <c r="B95" s="5" t="inlineStr">
        <is>
          <t>contribute</t>
        </is>
      </c>
      <c r="C95" s="6" t="inlineStr">
        <is>
          <t>動詞</t>
        </is>
      </c>
      <c r="D95" s="7" t="inlineStr">
        <is>
          <t>寄付する</t>
        </is>
      </c>
      <c r="E95" s="8" t="inlineStr">
        <is>
          <t>Ms. Hunter contributed ten thousand dollars to the school.</t>
        </is>
      </c>
      <c r="F95" s="8" t="inlineStr">
        <is>
          <t>ハンターさんはその学校へ1万ドルの寄付をした。</t>
        </is>
      </c>
      <c r="G95" s="8" t="inlineStr">
        <is>
          <t>「貢献する、原因となる、寄稿する」という意味もある。toとセットで使われることが多い。名: contribution「寄付、貢献、寄稿」</t>
        </is>
      </c>
    </row>
    <row r="96" ht="25" customHeight="1">
      <c r="A96" s="9" t="n">
        <v>492</v>
      </c>
      <c r="B96" s="10" t="inlineStr">
        <is>
          <t>convince</t>
        </is>
      </c>
      <c r="C96" s="11" t="inlineStr">
        <is>
          <t>動詞</t>
        </is>
      </c>
      <c r="D96" s="12" t="inlineStr">
        <is>
          <t>納得させる</t>
        </is>
      </c>
      <c r="E96" s="13" t="inlineStr">
        <is>
          <t>We have to convince the president.</t>
        </is>
      </c>
      <c r="F96" s="13" t="inlineStr">
        <is>
          <t>私たちは社長を納得させなければならない。</t>
        </is>
      </c>
      <c r="G96" s="13" t="inlineStr">
        <is>
          <t>形: convinced「確信した」、形: convincing「説得力のある」(=persuasive)</t>
        </is>
      </c>
    </row>
    <row r="97" ht="25" customHeight="1">
      <c r="A97" s="4" t="n">
        <v>493</v>
      </c>
      <c r="B97" s="5" t="inlineStr">
        <is>
          <t>divide</t>
        </is>
      </c>
      <c r="C97" s="6" t="inlineStr">
        <is>
          <t>動詞</t>
        </is>
      </c>
      <c r="D97" s="7" t="inlineStr">
        <is>
          <t>分ける</t>
        </is>
      </c>
      <c r="E97" s="8" t="inlineStr">
        <is>
          <t>We should divide the profits equally among us.</t>
        </is>
      </c>
      <c r="F97" s="8" t="inlineStr">
        <is>
          <t>利益は私たちの間で平等に分けるべきです。</t>
        </is>
      </c>
      <c r="G97" s="8" t="inlineStr">
        <is>
          <t>「隔てる、割り算をする」などの意味もある。同: share「分ける」、名: division「部署(=department)、分包、区画」</t>
        </is>
      </c>
    </row>
    <row r="98" ht="25" customHeight="1">
      <c r="A98" s="9" t="n">
        <v>494</v>
      </c>
      <c r="B98" s="10" t="inlineStr">
        <is>
          <t>fine</t>
        </is>
      </c>
      <c r="C98" s="11" t="inlineStr">
        <is>
          <t>名詞</t>
        </is>
      </c>
      <c r="D98" s="12" t="inlineStr">
        <is>
          <t>罰金</t>
        </is>
      </c>
      <c r="E98" s="13" t="inlineStr">
        <is>
          <t>I got a 55-dollar fine for illegal parking.</t>
        </is>
      </c>
      <c r="F98" s="13" t="inlineStr">
        <is>
          <t>私は違法駐車で55ドルの罰金を取られた。</t>
        </is>
      </c>
      <c r="G98" s="13" t="inlineStr">
        <is>
          <t>動: fine「罰金を科す」。形容詞のfine（よい、優れた、晴れたなどの意）とはまったく別の意味</t>
        </is>
      </c>
    </row>
    <row r="99" ht="25" customHeight="1">
      <c r="A99" s="4" t="n">
        <v>495</v>
      </c>
      <c r="B99" s="5" t="inlineStr">
        <is>
          <t>inquire</t>
        </is>
      </c>
      <c r="C99" s="6" t="inlineStr">
        <is>
          <t>動詞</t>
        </is>
      </c>
      <c r="D99" s="7" t="inlineStr">
        <is>
          <t>尋ねる</t>
        </is>
      </c>
      <c r="E99" s="8" t="inlineStr">
        <is>
          <t>I inquired about their service.</t>
        </is>
      </c>
      <c r="F99" s="8" t="inlineStr">
        <is>
          <t>私は彼らのサービスについて尋ねた。</t>
        </is>
      </c>
      <c r="G99" s="8" t="inlineStr">
        <is>
          <t>enquireという綴りもある（主に英）。名: inquiry「問い合わせ」、make an inquiry「問い合わせる」</t>
        </is>
      </c>
    </row>
    <row r="100" ht="25" customHeight="1">
      <c r="A100" s="9" t="n">
        <v>496</v>
      </c>
      <c r="B100" s="10" t="inlineStr">
        <is>
          <t>specific</t>
        </is>
      </c>
      <c r="C100" s="11" t="inlineStr">
        <is>
          <t>形容詞</t>
        </is>
      </c>
      <c r="D100" s="12" t="inlineStr">
        <is>
          <t>明確な・特定の</t>
        </is>
      </c>
      <c r="E100" s="13" t="inlineStr">
        <is>
          <t>Each product is designed for a specific purpose.</t>
        </is>
      </c>
      <c r="F100" s="13" t="inlineStr">
        <is>
          <t>それぞれの製品は特定の目的のために作られています。</t>
        </is>
      </c>
      <c r="G100" s="13" t="inlineStr">
        <is>
          <t>「厳密な」という意味もある。同: particular, certain「特定の」、副: specifically「特に、厳密に」、名: specification「仕様書」</t>
        </is>
      </c>
    </row>
    <row r="101" ht="25" customHeight="1">
      <c r="A101" s="4" t="n">
        <v>497</v>
      </c>
      <c r="B101" s="5" t="inlineStr">
        <is>
          <t>stock</t>
        </is>
      </c>
      <c r="C101" s="6" t="inlineStr">
        <is>
          <t>名詞</t>
        </is>
      </c>
      <c r="D101" s="7" t="inlineStr">
        <is>
          <t>在庫</t>
        </is>
      </c>
      <c r="E101" s="8" t="inlineStr">
        <is>
          <t>This model is currently out of stock.</t>
        </is>
      </c>
      <c r="F101" s="8" t="inlineStr">
        <is>
          <t>このモデルは現在、在庫が切れています。</t>
        </is>
      </c>
      <c r="G101" s="8" t="inlineStr">
        <is>
          <t>「株式」という意味もある。同: inventory「在庫」、in stock「在庫がある」、out of stock「在庫がない」、動: stock「仕入れる、満たす」</t>
        </is>
      </c>
    </row>
    <row r="102" ht="25" customHeight="1">
      <c r="A102" s="9" t="n">
        <v>498</v>
      </c>
      <c r="B102" s="10" t="inlineStr">
        <is>
          <t>aware</t>
        </is>
      </c>
      <c r="C102" s="11" t="inlineStr">
        <is>
          <t>形容詞</t>
        </is>
      </c>
      <c r="D102" s="12" t="inlineStr">
        <is>
          <t>気が付いている</t>
        </is>
      </c>
      <c r="E102" s="13" t="inlineStr">
        <is>
          <t>We are aware that our sales network is insufficient.</t>
        </is>
      </c>
      <c r="F102" s="13" t="inlineStr">
        <is>
          <t>私たちは販売網が十分でないことを知っています。</t>
        </is>
      </c>
      <c r="G102" s="13" t="inlineStr">
        <is>
          <t>aware of ~「〜に気付いている」、名: awareness「認識、自覚」</t>
        </is>
      </c>
    </row>
    <row r="103" ht="25" customHeight="1">
      <c r="A103" s="4" t="n">
        <v>499</v>
      </c>
      <c r="B103" s="5" t="inlineStr">
        <is>
          <t>broad</t>
        </is>
      </c>
      <c r="C103" s="6" t="inlineStr">
        <is>
          <t>形容詞</t>
        </is>
      </c>
      <c r="D103" s="7" t="inlineStr">
        <is>
          <t>大まかな</t>
        </is>
      </c>
      <c r="E103" s="8" t="inlineStr">
        <is>
          <t>He gave us a broad outline of the plan.</t>
        </is>
      </c>
      <c r="F103" s="8" t="inlineStr">
        <is>
          <t>彼は私たちにその計画の大まかな概要を示した。</t>
        </is>
      </c>
      <c r="G103" s="8" t="inlineStr">
        <is>
          <t>「広い」という意味もある。動: broaden「広げる」(=widen, expand)</t>
        </is>
      </c>
    </row>
    <row r="104" ht="25" customHeight="1">
      <c r="A104" s="9" t="n">
        <v>500</v>
      </c>
      <c r="B104" s="10" t="inlineStr">
        <is>
          <t>maximum</t>
        </is>
      </c>
      <c r="C104" s="11" t="inlineStr">
        <is>
          <t>形容詞</t>
        </is>
      </c>
      <c r="D104" s="12" t="inlineStr">
        <is>
          <t>最大の</t>
        </is>
      </c>
      <c r="E104" s="13" t="inlineStr">
        <is>
          <t>The factory is operating at maximum capacity.</t>
        </is>
      </c>
      <c r="F104" s="13" t="inlineStr">
        <is>
          <t>その工場は稼働能力限界で操業している。</t>
        </is>
      </c>
      <c r="G104" s="13" t="inlineStr">
        <is>
          <t>反: minimum「最小の」、動: maximize「最大にする」、反: minimize「最小限にする」、名: maximum「最大限」(反: minimum「最小限」)</t>
        </is>
      </c>
    </row>
  </sheetData>
  <autoFilter ref="A4:G104"/>
  <mergeCells count="2">
    <mergeCell ref="A2:G2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05"/>
  <sheetViews>
    <sheetView showGridLines="1" workbookViewId="0">
      <pane xSplit="4" ySplit="5" topLeftCell="E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9" customWidth="1" min="2" max="2"/>
    <col width="16" customWidth="1" min="3" max="3"/>
    <col width="8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8" customWidth="1" min="15" max="15"/>
    <col width="12" customWidth="1" min="16" max="16"/>
    <col width="10" customWidth="1" min="17" max="17"/>
    <col width="18" customWidth="1" min="18" max="18"/>
    <col width="35" customWidth="1" min="19" max="19"/>
    <col width="35" customWidth="1" min="20" max="20"/>
  </cols>
  <sheetData>
    <row r="1" ht="34" customHeight="1">
      <c r="A1" s="14" t="inlineStr">
        <is>
          <t>TOEIC L&amp;R 100問10択クイズ 【英単語 → 日本語の意味】 (出題順: 401〜500)</t>
        </is>
      </c>
    </row>
    <row r="2" ht="20" customHeight="1">
      <c r="A2" s="15" t="inlineStr">
        <is>
          <t>回答数</t>
        </is>
      </c>
      <c r="C2" s="16" t="inlineStr">
        <is>
          <t>正解数</t>
        </is>
      </c>
      <c r="E2" s="17" t="inlineStr">
        <is>
          <t>不正解数</t>
        </is>
      </c>
      <c r="G2" s="18" t="inlineStr">
        <is>
          <t>正答率</t>
        </is>
      </c>
      <c r="I2" s="19" t="inlineStr">
        <is>
          <t>【使い方】出題の順番は単語番号順(401〜500)です。O列「あなたの回答」でドロップダウン(A〜J)を選択すると自動判定されます。
正解判定後に右側の解答・解説（Q〜T列）を確認して復習しましょう！</t>
        </is>
      </c>
    </row>
    <row r="3" ht="20" customHeight="1">
      <c r="A3" s="20">
        <f>COUNTA(O6:O105)</f>
        <v/>
      </c>
      <c r="C3" s="21">
        <f>COUNTIF(P6:P105, "○ 正解")</f>
        <v/>
      </c>
      <c r="E3" s="22">
        <f>COUNTIF(P6:P105, "× 不正解")</f>
        <v/>
      </c>
      <c r="G3" s="23">
        <f>IF(COUNTA(O6:O105)&gt;0, COUNTIF(P6:P105, "○ 正解")/COUNTA(O6:O105), 0)</f>
        <v/>
      </c>
    </row>
    <row r="4" ht="8" customHeight="1"/>
    <row r="5" ht="28" customHeight="1">
      <c r="A5" s="3" t="inlineStr">
        <is>
          <t>問</t>
        </is>
      </c>
      <c r="B5" s="3" t="inlineStr">
        <is>
          <t>単語No.</t>
        </is>
      </c>
      <c r="C5" s="3" t="inlineStr">
        <is>
          <t>出題 (英単語)</t>
        </is>
      </c>
      <c r="D5" s="3" t="inlineStr">
        <is>
          <t>品詞</t>
        </is>
      </c>
      <c r="E5" s="24" t="inlineStr">
        <is>
          <t>選択肢 A</t>
        </is>
      </c>
      <c r="F5" s="24" t="inlineStr">
        <is>
          <t>選択肢 B</t>
        </is>
      </c>
      <c r="G5" s="24" t="inlineStr">
        <is>
          <t>選択肢 C</t>
        </is>
      </c>
      <c r="H5" s="24" t="inlineStr">
        <is>
          <t>選択肢 D</t>
        </is>
      </c>
      <c r="I5" s="24" t="inlineStr">
        <is>
          <t>選択肢 E</t>
        </is>
      </c>
      <c r="J5" s="24" t="inlineStr">
        <is>
          <t>選択肢 F</t>
        </is>
      </c>
      <c r="K5" s="24" t="inlineStr">
        <is>
          <t>選択肢 G</t>
        </is>
      </c>
      <c r="L5" s="24" t="inlineStr">
        <is>
          <t>選択肢 H</t>
        </is>
      </c>
      <c r="M5" s="24" t="inlineStr">
        <is>
          <t>選択肢 I</t>
        </is>
      </c>
      <c r="N5" s="24" t="inlineStr">
        <is>
          <t>選択肢 J</t>
        </is>
      </c>
      <c r="O5" s="25" t="inlineStr">
        <is>
          <t>あなたの回答 (A〜J)</t>
        </is>
      </c>
      <c r="P5" s="26" t="inlineStr">
        <is>
          <t>判定</t>
        </is>
      </c>
      <c r="Q5" s="27" t="inlineStr">
        <is>
          <t>正解記号</t>
        </is>
      </c>
      <c r="R5" s="27" t="inlineStr">
        <is>
          <t>正解の意味</t>
        </is>
      </c>
      <c r="S5" s="27" t="inlineStr">
        <is>
          <t>例文</t>
        </is>
      </c>
      <c r="T5" s="27" t="inlineStr">
        <is>
          <t>例文和訳</t>
        </is>
      </c>
    </row>
    <row r="6" ht="24" customHeight="1">
      <c r="A6" s="28" t="inlineStr">
        <is>
          <t>Q1</t>
        </is>
      </c>
      <c r="B6" s="9" t="n">
        <v>401</v>
      </c>
      <c r="C6" s="29" t="inlineStr">
        <is>
          <t>cause</t>
        </is>
      </c>
      <c r="D6" s="28" t="inlineStr">
        <is>
          <t>動詞</t>
        </is>
      </c>
      <c r="E6" s="30" t="inlineStr">
        <is>
          <t>状況</t>
        </is>
      </c>
      <c r="F6" s="30" t="inlineStr">
        <is>
          <t>〜の前に</t>
        </is>
      </c>
      <c r="G6" s="30" t="inlineStr">
        <is>
          <t>引き起こす</t>
        </is>
      </c>
      <c r="H6" s="30" t="inlineStr">
        <is>
          <t>礼儀正しい</t>
        </is>
      </c>
      <c r="I6" s="30" t="inlineStr">
        <is>
          <t>競争力のある</t>
        </is>
      </c>
      <c r="J6" s="30" t="inlineStr">
        <is>
          <t>拒否する</t>
        </is>
      </c>
      <c r="K6" s="30" t="inlineStr">
        <is>
          <t>指摘する</t>
        </is>
      </c>
      <c r="L6" s="30" t="inlineStr">
        <is>
          <t>内線</t>
        </is>
      </c>
      <c r="M6" s="30" t="inlineStr">
        <is>
          <t>普通は</t>
        </is>
      </c>
      <c r="N6" s="30" t="inlineStr">
        <is>
          <t>思い出させる</t>
        </is>
      </c>
      <c r="O6" s="31" t="inlineStr"/>
      <c r="P6" s="32">
        <f>IF(ISBLANK(O6), "", IF(TRIM(UPPER(O6))=TRIM(UPPER(Q6)), "○ 正解", "× 不正解"))</f>
        <v/>
      </c>
      <c r="Q6" s="32" t="inlineStr">
        <is>
          <t>C</t>
        </is>
      </c>
      <c r="R6" s="33" t="inlineStr">
        <is>
          <t>引き起こす</t>
        </is>
      </c>
      <c r="S6" s="34" t="inlineStr">
        <is>
          <t>Heavy traffic is causing delays on Highway 18.</t>
        </is>
      </c>
      <c r="T6" s="34" t="inlineStr">
        <is>
          <t>18号線では交通渋滞により遅れが生じています。</t>
        </is>
      </c>
    </row>
    <row r="7" ht="24" customHeight="1">
      <c r="A7" s="35" t="inlineStr">
        <is>
          <t>Q2</t>
        </is>
      </c>
      <c r="B7" s="4" t="n">
        <v>402</v>
      </c>
      <c r="C7" s="36" t="inlineStr">
        <is>
          <t>decade</t>
        </is>
      </c>
      <c r="D7" s="35" t="inlineStr">
        <is>
          <t>名詞</t>
        </is>
      </c>
      <c r="E7" s="37" t="inlineStr">
        <is>
          <t>すぐの</t>
        </is>
      </c>
      <c r="F7" s="37" t="inlineStr">
        <is>
          <t>意見</t>
        </is>
      </c>
      <c r="G7" s="37" t="inlineStr">
        <is>
          <t>不足</t>
        </is>
      </c>
      <c r="H7" s="37" t="inlineStr">
        <is>
          <t>状況</t>
        </is>
      </c>
      <c r="I7" s="37" t="inlineStr">
        <is>
          <t>起こりそうな</t>
        </is>
      </c>
      <c r="J7" s="37" t="inlineStr">
        <is>
          <t>要因</t>
        </is>
      </c>
      <c r="K7" s="37" t="inlineStr">
        <is>
          <t>修正する</t>
        </is>
      </c>
      <c r="L7" s="37" t="inlineStr">
        <is>
          <t>10年</t>
        </is>
      </c>
      <c r="M7" s="37" t="inlineStr">
        <is>
          <t>組み立てる</t>
        </is>
      </c>
      <c r="N7" s="37" t="inlineStr">
        <is>
          <t>納得させる</t>
        </is>
      </c>
      <c r="O7" s="31" t="inlineStr"/>
      <c r="P7" s="38">
        <f>IF(ISBLANK(O7), "", IF(TRIM(UPPER(O7))=TRIM(UPPER(Q7)), "○ 正解", "× 不正解"))</f>
        <v/>
      </c>
      <c r="Q7" s="38" t="inlineStr">
        <is>
          <t>H</t>
        </is>
      </c>
      <c r="R7" s="39" t="inlineStr">
        <is>
          <t>10年</t>
        </is>
      </c>
      <c r="S7" s="40" t="inlineStr">
        <is>
          <t>The city has changed over the last decade.</t>
        </is>
      </c>
      <c r="T7" s="40" t="inlineStr">
        <is>
          <t>その市はこの10年で変わった。</t>
        </is>
      </c>
    </row>
    <row r="8" ht="24" customHeight="1">
      <c r="A8" s="28" t="inlineStr">
        <is>
          <t>Q3</t>
        </is>
      </c>
      <c r="B8" s="9" t="n">
        <v>403</v>
      </c>
      <c r="C8" s="29" t="inlineStr">
        <is>
          <t>expire</t>
        </is>
      </c>
      <c r="D8" s="28" t="inlineStr">
        <is>
          <t>動詞</t>
        </is>
      </c>
      <c r="E8" s="30" t="inlineStr">
        <is>
          <t>転勤する</t>
        </is>
      </c>
      <c r="F8" s="30" t="inlineStr">
        <is>
          <t>人口</t>
        </is>
      </c>
      <c r="G8" s="30" t="inlineStr">
        <is>
          <t>内線</t>
        </is>
      </c>
      <c r="H8" s="30" t="inlineStr">
        <is>
          <t>期限が切れる</t>
        </is>
      </c>
      <c r="I8" s="30" t="inlineStr">
        <is>
          <t>研究所</t>
        </is>
      </c>
      <c r="J8" s="30" t="inlineStr">
        <is>
          <t>最大の</t>
        </is>
      </c>
      <c r="K8" s="30" t="inlineStr">
        <is>
          <t>明らかにする</t>
        </is>
      </c>
      <c r="L8" s="30" t="inlineStr">
        <is>
          <t>定期購読する</t>
        </is>
      </c>
      <c r="M8" s="30" t="inlineStr">
        <is>
          <t>納得させる</t>
        </is>
      </c>
      <c r="N8" s="30" t="inlineStr">
        <is>
          <t>普通は</t>
        </is>
      </c>
      <c r="O8" s="31" t="inlineStr"/>
      <c r="P8" s="32">
        <f>IF(ISBLANK(O8), "", IF(TRIM(UPPER(O8))=TRIM(UPPER(Q8)), "○ 正解", "× 不正解"))</f>
        <v/>
      </c>
      <c r="Q8" s="32" t="inlineStr">
        <is>
          <t>D</t>
        </is>
      </c>
      <c r="R8" s="33" t="inlineStr">
        <is>
          <t>期限が切れる</t>
        </is>
      </c>
      <c r="S8" s="34" t="inlineStr">
        <is>
          <t>My passport has expired.</t>
        </is>
      </c>
      <c r="T8" s="34" t="inlineStr">
        <is>
          <t>私のパスポートは期限が切れた。</t>
        </is>
      </c>
    </row>
    <row r="9" ht="24" customHeight="1">
      <c r="A9" s="35" t="inlineStr">
        <is>
          <t>Q4</t>
        </is>
      </c>
      <c r="B9" s="4" t="n">
        <v>404</v>
      </c>
      <c r="C9" s="36" t="inlineStr">
        <is>
          <t>income</t>
        </is>
      </c>
      <c r="D9" s="35" t="inlineStr">
        <is>
          <t>名詞</t>
        </is>
      </c>
      <c r="E9" s="37" t="inlineStr">
        <is>
          <t>10年</t>
        </is>
      </c>
      <c r="F9" s="37" t="inlineStr">
        <is>
          <t>収入</t>
        </is>
      </c>
      <c r="G9" s="37" t="inlineStr">
        <is>
          <t>アンケート</t>
        </is>
      </c>
      <c r="H9" s="37" t="inlineStr">
        <is>
          <t>思い出させる</t>
        </is>
      </c>
      <c r="I9" s="37" t="inlineStr">
        <is>
          <t>修正する</t>
        </is>
      </c>
      <c r="J9" s="37" t="inlineStr">
        <is>
          <t>態度(姿勢)</t>
        </is>
      </c>
      <c r="K9" s="37" t="inlineStr">
        <is>
          <t>態度</t>
        </is>
      </c>
      <c r="L9" s="37" t="inlineStr">
        <is>
          <t>定期購読する</t>
        </is>
      </c>
      <c r="M9" s="37" t="inlineStr">
        <is>
          <t>経費</t>
        </is>
      </c>
      <c r="N9" s="37" t="inlineStr">
        <is>
          <t>会場</t>
        </is>
      </c>
      <c r="O9" s="31" t="inlineStr"/>
      <c r="P9" s="38">
        <f>IF(ISBLANK(O9), "", IF(TRIM(UPPER(O9))=TRIM(UPPER(Q9)), "○ 正解", "× 不正解"))</f>
        <v/>
      </c>
      <c r="Q9" s="38" t="inlineStr">
        <is>
          <t>B</t>
        </is>
      </c>
      <c r="R9" s="39" t="inlineStr">
        <is>
          <t>収入</t>
        </is>
      </c>
      <c r="S9" s="40" t="inlineStr">
        <is>
          <t>Tourism is the main source of income in the region.</t>
        </is>
      </c>
      <c r="T9" s="40" t="inlineStr">
        <is>
          <t>観光業はこの地域の主な収入源です。</t>
        </is>
      </c>
    </row>
    <row r="10" ht="24" customHeight="1">
      <c r="A10" s="28" t="inlineStr">
        <is>
          <t>Q5</t>
        </is>
      </c>
      <c r="B10" s="9" t="n">
        <v>405</v>
      </c>
      <c r="C10" s="29" t="inlineStr">
        <is>
          <t>immediate</t>
        </is>
      </c>
      <c r="D10" s="28" t="inlineStr">
        <is>
          <t>形容詞</t>
        </is>
      </c>
      <c r="E10" s="30" t="inlineStr">
        <is>
          <t>温暖な</t>
        </is>
      </c>
      <c r="F10" s="30" t="inlineStr">
        <is>
          <t>考える</t>
        </is>
      </c>
      <c r="G10" s="30" t="inlineStr">
        <is>
          <t>在庫</t>
        </is>
      </c>
      <c r="H10" s="30" t="inlineStr">
        <is>
          <t>10年</t>
        </is>
      </c>
      <c r="I10" s="30" t="inlineStr">
        <is>
          <t>適任である</t>
        </is>
      </c>
      <c r="J10" s="30" t="inlineStr">
        <is>
          <t>予算</t>
        </is>
      </c>
      <c r="K10" s="30" t="inlineStr">
        <is>
          <t>会話</t>
        </is>
      </c>
      <c r="L10" s="30" t="inlineStr">
        <is>
          <t>すぐの</t>
        </is>
      </c>
      <c r="M10" s="30" t="inlineStr">
        <is>
          <t>早急な</t>
        </is>
      </c>
      <c r="N10" s="30" t="inlineStr">
        <is>
          <t>通勤する</t>
        </is>
      </c>
      <c r="O10" s="31" t="inlineStr"/>
      <c r="P10" s="32">
        <f>IF(ISBLANK(O10), "", IF(TRIM(UPPER(O10))=TRIM(UPPER(Q10)), "○ 正解", "× 不正解"))</f>
        <v/>
      </c>
      <c r="Q10" s="32" t="inlineStr">
        <is>
          <t>I</t>
        </is>
      </c>
      <c r="R10" s="33" t="inlineStr">
        <is>
          <t>早急な</t>
        </is>
      </c>
      <c r="S10" s="34" t="inlineStr">
        <is>
          <t>We need to take immediate action.</t>
        </is>
      </c>
      <c r="T10" s="34" t="inlineStr">
        <is>
          <t>私たちは早急な対応を取る必要があります。</t>
        </is>
      </c>
    </row>
    <row r="11" ht="24" customHeight="1">
      <c r="A11" s="35" t="inlineStr">
        <is>
          <t>Q6</t>
        </is>
      </c>
      <c r="B11" s="4" t="n">
        <v>406</v>
      </c>
      <c r="C11" s="36" t="inlineStr">
        <is>
          <t>questionnaire</t>
        </is>
      </c>
      <c r="D11" s="35" t="inlineStr">
        <is>
          <t>名詞</t>
        </is>
      </c>
      <c r="E11" s="37" t="inlineStr">
        <is>
          <t>小売り</t>
        </is>
      </c>
      <c r="F11" s="37" t="inlineStr">
        <is>
          <t>アンケート</t>
        </is>
      </c>
      <c r="G11" s="37" t="inlineStr">
        <is>
          <t>研究所</t>
        </is>
      </c>
      <c r="H11" s="37" t="inlineStr">
        <is>
          <t>影響力</t>
        </is>
      </c>
      <c r="I11" s="37" t="inlineStr">
        <is>
          <t>辞任する</t>
        </is>
      </c>
      <c r="J11" s="37" t="inlineStr">
        <is>
          <t>思い出させる</t>
        </is>
      </c>
      <c r="K11" s="37" t="inlineStr">
        <is>
          <t>競争力のある</t>
        </is>
      </c>
      <c r="L11" s="37" t="inlineStr">
        <is>
          <t>含む</t>
        </is>
      </c>
      <c r="M11" s="37" t="inlineStr">
        <is>
          <t>組み立てる</t>
        </is>
      </c>
      <c r="N11" s="37" t="inlineStr">
        <is>
          <t>注ぐ</t>
        </is>
      </c>
      <c r="O11" s="31" t="inlineStr"/>
      <c r="P11" s="38">
        <f>IF(ISBLANK(O11), "", IF(TRIM(UPPER(O11))=TRIM(UPPER(Q11)), "○ 正解", "× 不正解"))</f>
        <v/>
      </c>
      <c r="Q11" s="38" t="inlineStr">
        <is>
          <t>B</t>
        </is>
      </c>
      <c r="R11" s="39" t="inlineStr">
        <is>
          <t>アンケート</t>
        </is>
      </c>
      <c r="S11" s="40" t="inlineStr">
        <is>
          <t>Please complete the questionnaire after the seminar.</t>
        </is>
      </c>
      <c r="T11" s="40" t="inlineStr">
        <is>
          <t>セミナーのあと、アンケートにご記入ください。</t>
        </is>
      </c>
    </row>
    <row r="12" ht="24" customHeight="1">
      <c r="A12" s="28" t="inlineStr">
        <is>
          <t>Q7</t>
        </is>
      </c>
      <c r="B12" s="9" t="n">
        <v>407</v>
      </c>
      <c r="C12" s="29" t="inlineStr">
        <is>
          <t>routine</t>
        </is>
      </c>
      <c r="D12" s="28" t="inlineStr">
        <is>
          <t>名詞</t>
        </is>
      </c>
      <c r="E12" s="30" t="inlineStr">
        <is>
          <t>定期購読する</t>
        </is>
      </c>
      <c r="F12" s="30" t="inlineStr">
        <is>
          <t>くつろいだ</t>
        </is>
      </c>
      <c r="G12" s="30" t="inlineStr">
        <is>
          <t>交換する</t>
        </is>
      </c>
      <c r="H12" s="30" t="inlineStr">
        <is>
          <t>明らかにする</t>
        </is>
      </c>
      <c r="I12" s="30" t="inlineStr">
        <is>
          <t>習慣的に繰り返されること</t>
        </is>
      </c>
      <c r="J12" s="30" t="inlineStr">
        <is>
          <t>通勤する</t>
        </is>
      </c>
      <c r="K12" s="30" t="inlineStr">
        <is>
          <t>指摘する</t>
        </is>
      </c>
      <c r="L12" s="30" t="inlineStr">
        <is>
          <t>移転する</t>
        </is>
      </c>
      <c r="M12" s="30" t="inlineStr">
        <is>
          <t>添付する</t>
        </is>
      </c>
      <c r="N12" s="30" t="inlineStr">
        <is>
          <t>会場</t>
        </is>
      </c>
      <c r="O12" s="31" t="inlineStr"/>
      <c r="P12" s="32">
        <f>IF(ISBLANK(O12), "", IF(TRIM(UPPER(O12))=TRIM(UPPER(Q12)), "○ 正解", "× 不正解"))</f>
        <v/>
      </c>
      <c r="Q12" s="32" t="inlineStr">
        <is>
          <t>E</t>
        </is>
      </c>
      <c r="R12" s="33" t="inlineStr">
        <is>
          <t>習慣的に繰り返されること</t>
        </is>
      </c>
      <c r="S12" s="34" t="inlineStr">
        <is>
          <t>Exercise is part of my daily routine.</t>
        </is>
      </c>
      <c r="T12" s="34" t="inlineStr">
        <is>
          <t>運動は私の日課の一部です。</t>
        </is>
      </c>
    </row>
    <row r="13" ht="24" customHeight="1">
      <c r="A13" s="35" t="inlineStr">
        <is>
          <t>Q8</t>
        </is>
      </c>
      <c r="B13" s="4" t="n">
        <v>408</v>
      </c>
      <c r="C13" s="36" t="inlineStr">
        <is>
          <t>transfer</t>
        </is>
      </c>
      <c r="D13" s="35" t="inlineStr">
        <is>
          <t>動詞</t>
        </is>
      </c>
      <c r="E13" s="37" t="inlineStr">
        <is>
          <t>よくある</t>
        </is>
      </c>
      <c r="F13" s="37" t="inlineStr">
        <is>
          <t>手段</t>
        </is>
      </c>
      <c r="G13" s="37" t="inlineStr">
        <is>
          <t>転勤する</t>
        </is>
      </c>
      <c r="H13" s="37" t="inlineStr">
        <is>
          <t>含む</t>
        </is>
      </c>
      <c r="I13" s="37" t="inlineStr">
        <is>
          <t>更新する</t>
        </is>
      </c>
      <c r="J13" s="37" t="inlineStr">
        <is>
          <t>影響力</t>
        </is>
      </c>
      <c r="K13" s="37" t="inlineStr">
        <is>
          <t>〜のままでいる</t>
        </is>
      </c>
      <c r="L13" s="37" t="inlineStr">
        <is>
          <t>請求書</t>
        </is>
      </c>
      <c r="M13" s="37" t="inlineStr">
        <is>
          <t>意見</t>
        </is>
      </c>
      <c r="N13" s="37" t="inlineStr">
        <is>
          <t>手法</t>
        </is>
      </c>
      <c r="O13" s="31" t="inlineStr"/>
      <c r="P13" s="38">
        <f>IF(ISBLANK(O13), "", IF(TRIM(UPPER(O13))=TRIM(UPPER(Q13)), "○ 正解", "× 不正解"))</f>
        <v/>
      </c>
      <c r="Q13" s="38" t="inlineStr">
        <is>
          <t>C</t>
        </is>
      </c>
      <c r="R13" s="39" t="inlineStr">
        <is>
          <t>転勤する</t>
        </is>
      </c>
      <c r="S13" s="40" t="inlineStr">
        <is>
          <t>Mr. Chen transferred from Taipei to Bangkok.</t>
        </is>
      </c>
      <c r="T13" s="40" t="inlineStr">
        <is>
          <t>チェンさんは台北からバンコクへ転勤した。</t>
        </is>
      </c>
    </row>
    <row r="14" ht="24" customHeight="1">
      <c r="A14" s="28" t="inlineStr">
        <is>
          <t>Q9</t>
        </is>
      </c>
      <c r="B14" s="9" t="n">
        <v>409</v>
      </c>
      <c r="C14" s="29" t="inlineStr">
        <is>
          <t>complicated</t>
        </is>
      </c>
      <c r="D14" s="28" t="inlineStr">
        <is>
          <t>形容詞</t>
        </is>
      </c>
      <c r="E14" s="30" t="inlineStr">
        <is>
          <t>辞任する</t>
        </is>
      </c>
      <c r="F14" s="30" t="inlineStr">
        <is>
          <t>複雑な</t>
        </is>
      </c>
      <c r="G14" s="30" t="inlineStr">
        <is>
          <t>専門家</t>
        </is>
      </c>
      <c r="H14" s="30" t="inlineStr">
        <is>
          <t>明らかにする</t>
        </is>
      </c>
      <c r="I14" s="30" t="inlineStr">
        <is>
          <t>意見</t>
        </is>
      </c>
      <c r="J14" s="30" t="inlineStr">
        <is>
          <t>上の階に</t>
        </is>
      </c>
      <c r="K14" s="30" t="inlineStr">
        <is>
          <t>指摘する</t>
        </is>
      </c>
      <c r="L14" s="30" t="inlineStr">
        <is>
          <t>起こりそうな</t>
        </is>
      </c>
      <c r="M14" s="30" t="inlineStr">
        <is>
          <t>身体の</t>
        </is>
      </c>
      <c r="N14" s="30" t="inlineStr">
        <is>
          <t>評判</t>
        </is>
      </c>
      <c r="O14" s="31" t="inlineStr"/>
      <c r="P14" s="32">
        <f>IF(ISBLANK(O14), "", IF(TRIM(UPPER(O14))=TRIM(UPPER(Q14)), "○ 正解", "× 不正解"))</f>
        <v/>
      </c>
      <c r="Q14" s="32" t="inlineStr">
        <is>
          <t>B</t>
        </is>
      </c>
      <c r="R14" s="33" t="inlineStr">
        <is>
          <t>複雑な</t>
        </is>
      </c>
      <c r="S14" s="34" t="inlineStr">
        <is>
          <t>Our evaluation system is very complicated.</t>
        </is>
      </c>
      <c r="T14" s="34" t="inlineStr">
        <is>
          <t>当社の評価システムはとても複雑です。</t>
        </is>
      </c>
    </row>
    <row r="15" ht="24" customHeight="1">
      <c r="A15" s="35" t="inlineStr">
        <is>
          <t>Q10</t>
        </is>
      </c>
      <c r="B15" s="4" t="n">
        <v>410</v>
      </c>
      <c r="C15" s="36" t="inlineStr">
        <is>
          <t>education</t>
        </is>
      </c>
      <c r="D15" s="35" t="inlineStr">
        <is>
          <t>名詞</t>
        </is>
      </c>
      <c r="E15" s="37" t="inlineStr">
        <is>
          <t>含む</t>
        </is>
      </c>
      <c r="F15" s="37" t="inlineStr">
        <is>
          <t>複雑な</t>
        </is>
      </c>
      <c r="G15" s="37" t="inlineStr">
        <is>
          <t>転勤する</t>
        </is>
      </c>
      <c r="H15" s="37" t="inlineStr">
        <is>
          <t>求める</t>
        </is>
      </c>
      <c r="I15" s="37" t="inlineStr">
        <is>
          <t>温暖な</t>
        </is>
      </c>
      <c r="J15" s="37" t="inlineStr">
        <is>
          <t>予算</t>
        </is>
      </c>
      <c r="K15" s="37" t="inlineStr">
        <is>
          <t>主催する</t>
        </is>
      </c>
      <c r="L15" s="37" t="inlineStr">
        <is>
          <t>辞任する(身を引く)</t>
        </is>
      </c>
      <c r="M15" s="37" t="inlineStr">
        <is>
          <t>10年</t>
        </is>
      </c>
      <c r="N15" s="37" t="inlineStr">
        <is>
          <t>教育</t>
        </is>
      </c>
      <c r="O15" s="31" t="inlineStr"/>
      <c r="P15" s="38">
        <f>IF(ISBLANK(O15), "", IF(TRIM(UPPER(O15))=TRIM(UPPER(Q15)), "○ 正解", "× 不正解"))</f>
        <v/>
      </c>
      <c r="Q15" s="38" t="inlineStr">
        <is>
          <t>J</t>
        </is>
      </c>
      <c r="R15" s="39" t="inlineStr">
        <is>
          <t>教育</t>
        </is>
      </c>
      <c r="S15" s="40" t="inlineStr">
        <is>
          <t>The government has increased spending on education.</t>
        </is>
      </c>
      <c r="T15" s="40" t="inlineStr">
        <is>
          <t>政府は教育の支出を増やした。</t>
        </is>
      </c>
    </row>
    <row r="16" ht="24" customHeight="1">
      <c r="A16" s="28" t="inlineStr">
        <is>
          <t>Q11</t>
        </is>
      </c>
      <c r="B16" s="9" t="n">
        <v>411</v>
      </c>
      <c r="C16" s="29" t="inlineStr">
        <is>
          <t>greet</t>
        </is>
      </c>
      <c r="D16" s="28" t="inlineStr">
        <is>
          <t>動詞</t>
        </is>
      </c>
      <c r="E16" s="30" t="inlineStr">
        <is>
          <t>化学薬品</t>
        </is>
      </c>
      <c r="F16" s="30" t="inlineStr">
        <is>
          <t>小売り</t>
        </is>
      </c>
      <c r="G16" s="30" t="inlineStr">
        <is>
          <t>要因</t>
        </is>
      </c>
      <c r="H16" s="30" t="inlineStr">
        <is>
          <t>出迎える</t>
        </is>
      </c>
      <c r="I16" s="30" t="inlineStr">
        <is>
          <t>転勤する</t>
        </is>
      </c>
      <c r="J16" s="30" t="inlineStr">
        <is>
          <t>明確な・特定の</t>
        </is>
      </c>
      <c r="K16" s="30" t="inlineStr">
        <is>
          <t>収入</t>
        </is>
      </c>
      <c r="L16" s="30" t="inlineStr">
        <is>
          <t>信用</t>
        </is>
      </c>
      <c r="M16" s="30" t="inlineStr">
        <is>
          <t>上の階に</t>
        </is>
      </c>
      <c r="N16" s="30" t="inlineStr">
        <is>
          <t>分ける</t>
        </is>
      </c>
      <c r="O16" s="31" t="inlineStr"/>
      <c r="P16" s="32">
        <f>IF(ISBLANK(O16), "", IF(TRIM(UPPER(O16))=TRIM(UPPER(Q16)), "○ 正解", "× 不正解"))</f>
        <v/>
      </c>
      <c r="Q16" s="32" t="inlineStr">
        <is>
          <t>D</t>
        </is>
      </c>
      <c r="R16" s="33" t="inlineStr">
        <is>
          <t>出迎える</t>
        </is>
      </c>
      <c r="S16" s="34" t="inlineStr">
        <is>
          <t>The manager greeted us with a smile.</t>
        </is>
      </c>
      <c r="T16" s="34" t="inlineStr">
        <is>
          <t>マネージャーは私たちを笑顔で出迎えてくれた。</t>
        </is>
      </c>
    </row>
    <row r="17" ht="24" customHeight="1">
      <c r="A17" s="35" t="inlineStr">
        <is>
          <t>Q12</t>
        </is>
      </c>
      <c r="B17" s="4" t="n">
        <v>412</v>
      </c>
      <c r="C17" s="36" t="inlineStr">
        <is>
          <t>influence</t>
        </is>
      </c>
      <c r="D17" s="35" t="inlineStr">
        <is>
          <t>名詞</t>
        </is>
      </c>
      <c r="E17" s="37" t="inlineStr">
        <is>
          <t>内線</t>
        </is>
      </c>
      <c r="F17" s="37" t="inlineStr">
        <is>
          <t>重役</t>
        </is>
      </c>
      <c r="G17" s="37" t="inlineStr">
        <is>
          <t>手段</t>
        </is>
      </c>
      <c r="H17" s="37" t="inlineStr">
        <is>
          <t>よくある</t>
        </is>
      </c>
      <c r="I17" s="37" t="inlineStr">
        <is>
          <t>主催する</t>
        </is>
      </c>
      <c r="J17" s="37" t="inlineStr">
        <is>
          <t>上の階に</t>
        </is>
      </c>
      <c r="K17" s="37" t="inlineStr">
        <is>
          <t>含む</t>
        </is>
      </c>
      <c r="L17" s="37" t="inlineStr">
        <is>
          <t>焦点を合わせる</t>
        </is>
      </c>
      <c r="M17" s="37" t="inlineStr">
        <is>
          <t>影響力</t>
        </is>
      </c>
      <c r="N17" s="37" t="inlineStr">
        <is>
          <t>人口</t>
        </is>
      </c>
      <c r="O17" s="31" t="inlineStr"/>
      <c r="P17" s="38">
        <f>IF(ISBLANK(O17), "", IF(TRIM(UPPER(O17))=TRIM(UPPER(Q17)), "○ 正解", "× 不正解"))</f>
        <v/>
      </c>
      <c r="Q17" s="38" t="inlineStr">
        <is>
          <t>I</t>
        </is>
      </c>
      <c r="R17" s="39" t="inlineStr">
        <is>
          <t>影響力</t>
        </is>
      </c>
      <c r="S17" s="40" t="inlineStr">
        <is>
          <t>The former president still has influence over the company.</t>
        </is>
      </c>
      <c r="T17" s="40" t="inlineStr">
        <is>
          <t>元社長はまだ、会社に影響力を持っている。</t>
        </is>
      </c>
    </row>
    <row r="18" ht="24" customHeight="1">
      <c r="A18" s="28" t="inlineStr">
        <is>
          <t>Q13</t>
        </is>
      </c>
      <c r="B18" s="9" t="n">
        <v>413</v>
      </c>
      <c r="C18" s="29" t="inlineStr">
        <is>
          <t>lack</t>
        </is>
      </c>
      <c r="D18" s="28" t="inlineStr">
        <is>
          <t>名詞</t>
        </is>
      </c>
      <c r="E18" s="30" t="inlineStr">
        <is>
          <t>10年</t>
        </is>
      </c>
      <c r="F18" s="30" t="inlineStr">
        <is>
          <t>不足</t>
        </is>
      </c>
      <c r="G18" s="30" t="inlineStr">
        <is>
          <t>内線</t>
        </is>
      </c>
      <c r="H18" s="30" t="inlineStr">
        <is>
          <t>拒否する</t>
        </is>
      </c>
      <c r="I18" s="30" t="inlineStr">
        <is>
          <t>不動産</t>
        </is>
      </c>
      <c r="J18" s="30" t="inlineStr">
        <is>
          <t>転勤する</t>
        </is>
      </c>
      <c r="K18" s="30" t="inlineStr">
        <is>
          <t>得る</t>
        </is>
      </c>
      <c r="L18" s="30" t="inlineStr">
        <is>
          <t>車に乗せること</t>
        </is>
      </c>
      <c r="M18" s="30" t="inlineStr">
        <is>
          <t>改良する</t>
        </is>
      </c>
      <c r="N18" s="30" t="inlineStr">
        <is>
          <t>焦点を合わせる</t>
        </is>
      </c>
      <c r="O18" s="31" t="inlineStr"/>
      <c r="P18" s="32">
        <f>IF(ISBLANK(O18), "", IF(TRIM(UPPER(O18))=TRIM(UPPER(Q18)), "○ 正解", "× 不正解"))</f>
        <v/>
      </c>
      <c r="Q18" s="32" t="inlineStr">
        <is>
          <t>B</t>
        </is>
      </c>
      <c r="R18" s="33" t="inlineStr">
        <is>
          <t>不足</t>
        </is>
      </c>
      <c r="S18" s="34" t="inlineStr">
        <is>
          <t>The project was canceled due to a lack of funds.</t>
        </is>
      </c>
      <c r="T18" s="34" t="inlineStr">
        <is>
          <t>資金不足のため、そのプロジェクトは中止になった。</t>
        </is>
      </c>
    </row>
    <row r="19" ht="24" customHeight="1">
      <c r="A19" s="35" t="inlineStr">
        <is>
          <t>Q14</t>
        </is>
      </c>
      <c r="B19" s="4" t="n">
        <v>414</v>
      </c>
      <c r="C19" s="36" t="inlineStr">
        <is>
          <t>mild</t>
        </is>
      </c>
      <c r="D19" s="35" t="inlineStr">
        <is>
          <t>形容詞</t>
        </is>
      </c>
      <c r="E19" s="37" t="inlineStr">
        <is>
          <t>注意</t>
        </is>
      </c>
      <c r="F19" s="37" t="inlineStr">
        <is>
          <t>必要な</t>
        </is>
      </c>
      <c r="G19" s="37" t="inlineStr">
        <is>
          <t>取り消す</t>
        </is>
      </c>
      <c r="H19" s="37" t="inlineStr">
        <is>
          <t>辞任する(身を引く)</t>
        </is>
      </c>
      <c r="I19" s="37" t="inlineStr">
        <is>
          <t>考える</t>
        </is>
      </c>
      <c r="J19" s="37" t="inlineStr">
        <is>
          <t>尋ねる</t>
        </is>
      </c>
      <c r="K19" s="37" t="inlineStr">
        <is>
          <t>出迎える</t>
        </is>
      </c>
      <c r="L19" s="37" t="inlineStr">
        <is>
          <t>温暖な</t>
        </is>
      </c>
      <c r="M19" s="37" t="inlineStr">
        <is>
          <t>早急な</t>
        </is>
      </c>
      <c r="N19" s="37" t="inlineStr">
        <is>
          <t>修復する</t>
        </is>
      </c>
      <c r="O19" s="31" t="inlineStr"/>
      <c r="P19" s="38">
        <f>IF(ISBLANK(O19), "", IF(TRIM(UPPER(O19))=TRIM(UPPER(Q19)), "○ 正解", "× 不正解"))</f>
        <v/>
      </c>
      <c r="Q19" s="38" t="inlineStr">
        <is>
          <t>H</t>
        </is>
      </c>
      <c r="R19" s="39" t="inlineStr">
        <is>
          <t>温暖な</t>
        </is>
      </c>
      <c r="S19" s="40" t="inlineStr">
        <is>
          <t>We had a mild winter this year.</t>
        </is>
      </c>
      <c r="T19" s="40" t="inlineStr">
        <is>
          <t>今年は暖冬だった。</t>
        </is>
      </c>
    </row>
    <row r="20" ht="24" customHeight="1">
      <c r="A20" s="28" t="inlineStr">
        <is>
          <t>Q15</t>
        </is>
      </c>
      <c r="B20" s="9" t="n">
        <v>415</v>
      </c>
      <c r="C20" s="29" t="inlineStr">
        <is>
          <t>normally</t>
        </is>
      </c>
      <c r="D20" s="28" t="inlineStr">
        <is>
          <t>副詞</t>
        </is>
      </c>
      <c r="E20" s="30" t="inlineStr">
        <is>
          <t>会話</t>
        </is>
      </c>
      <c r="F20" s="30" t="inlineStr">
        <is>
          <t>上の階に</t>
        </is>
      </c>
      <c r="G20" s="30" t="inlineStr">
        <is>
          <t>必要な</t>
        </is>
      </c>
      <c r="H20" s="30" t="inlineStr">
        <is>
          <t>在庫</t>
        </is>
      </c>
      <c r="I20" s="30" t="inlineStr">
        <is>
          <t>辞任する</t>
        </is>
      </c>
      <c r="J20" s="30" t="inlineStr">
        <is>
          <t>要因</t>
        </is>
      </c>
      <c r="K20" s="30" t="inlineStr">
        <is>
          <t>組み立てる</t>
        </is>
      </c>
      <c r="L20" s="30" t="inlineStr">
        <is>
          <t>注ぐ</t>
        </is>
      </c>
      <c r="M20" s="30" t="inlineStr">
        <is>
          <t>手段</t>
        </is>
      </c>
      <c r="N20" s="30" t="inlineStr">
        <is>
          <t>普通は</t>
        </is>
      </c>
      <c r="O20" s="31" t="inlineStr"/>
      <c r="P20" s="32">
        <f>IF(ISBLANK(O20), "", IF(TRIM(UPPER(O20))=TRIM(UPPER(Q20)), "○ 正解", "× 不正解"))</f>
        <v/>
      </c>
      <c r="Q20" s="32" t="inlineStr">
        <is>
          <t>J</t>
        </is>
      </c>
      <c r="R20" s="33" t="inlineStr">
        <is>
          <t>普通は</t>
        </is>
      </c>
      <c r="S20" s="34" t="inlineStr">
        <is>
          <t>I normally work forty hours a week.</t>
        </is>
      </c>
      <c r="T20" s="34" t="inlineStr">
        <is>
          <t>私は普段、週に40時間働いています。</t>
        </is>
      </c>
    </row>
    <row r="21" ht="24" customHeight="1">
      <c r="A21" s="35" t="inlineStr">
        <is>
          <t>Q16</t>
        </is>
      </c>
      <c r="B21" s="4" t="n">
        <v>416</v>
      </c>
      <c r="C21" s="36" t="inlineStr">
        <is>
          <t>physical</t>
        </is>
      </c>
      <c r="D21" s="35" t="inlineStr">
        <is>
          <t>形容詞</t>
        </is>
      </c>
      <c r="E21" s="37" t="inlineStr">
        <is>
          <t>設立する</t>
        </is>
      </c>
      <c r="F21" s="37" t="inlineStr">
        <is>
          <t>温暖な</t>
        </is>
      </c>
      <c r="G21" s="37" t="inlineStr">
        <is>
          <t>重役</t>
        </is>
      </c>
      <c r="H21" s="37" t="inlineStr">
        <is>
          <t>辞任する(身を引く)</t>
        </is>
      </c>
      <c r="I21" s="37" t="inlineStr">
        <is>
          <t>身体の</t>
        </is>
      </c>
      <c r="J21" s="37" t="inlineStr">
        <is>
          <t>教育</t>
        </is>
      </c>
      <c r="K21" s="37" t="inlineStr">
        <is>
          <t>軽い飲食料</t>
        </is>
      </c>
      <c r="L21" s="37" t="inlineStr">
        <is>
          <t>尋ねる</t>
        </is>
      </c>
      <c r="M21" s="37" t="inlineStr">
        <is>
          <t>人口</t>
        </is>
      </c>
      <c r="N21" s="37" t="inlineStr">
        <is>
          <t>態度(姿勢)</t>
        </is>
      </c>
      <c r="O21" s="31" t="inlineStr"/>
      <c r="P21" s="38">
        <f>IF(ISBLANK(O21), "", IF(TRIM(UPPER(O21))=TRIM(UPPER(Q21)), "○ 正解", "× 不正解"))</f>
        <v/>
      </c>
      <c r="Q21" s="38" t="inlineStr">
        <is>
          <t>E</t>
        </is>
      </c>
      <c r="R21" s="39" t="inlineStr">
        <is>
          <t>身体の</t>
        </is>
      </c>
      <c r="S21" s="40" t="inlineStr">
        <is>
          <t>I need to do physical exercise regularly.</t>
        </is>
      </c>
      <c r="T21" s="40" t="inlineStr">
        <is>
          <t>私は定期的に身体的な運動をする必要がある。</t>
        </is>
      </c>
    </row>
    <row r="22" ht="24" customHeight="1">
      <c r="A22" s="28" t="inlineStr">
        <is>
          <t>Q17</t>
        </is>
      </c>
      <c r="B22" s="9" t="n">
        <v>417</v>
      </c>
      <c r="C22" s="29" t="inlineStr">
        <is>
          <t>polite</t>
        </is>
      </c>
      <c r="D22" s="28" t="inlineStr">
        <is>
          <t>形容詞</t>
        </is>
      </c>
      <c r="E22" s="30" t="inlineStr">
        <is>
          <t>礼儀正しい</t>
        </is>
      </c>
      <c r="F22" s="30" t="inlineStr">
        <is>
          <t>〜の前に</t>
        </is>
      </c>
      <c r="G22" s="30" t="inlineStr">
        <is>
          <t>経済的な</t>
        </is>
      </c>
      <c r="H22" s="30" t="inlineStr">
        <is>
          <t>大まかな</t>
        </is>
      </c>
      <c r="I22" s="30" t="inlineStr">
        <is>
          <t>取り消す</t>
        </is>
      </c>
      <c r="J22" s="30" t="inlineStr">
        <is>
          <t>小売り</t>
        </is>
      </c>
      <c r="K22" s="30" t="inlineStr">
        <is>
          <t>提携</t>
        </is>
      </c>
      <c r="L22" s="30" t="inlineStr">
        <is>
          <t>更新する</t>
        </is>
      </c>
      <c r="M22" s="30" t="inlineStr">
        <is>
          <t>内線</t>
        </is>
      </c>
      <c r="N22" s="30" t="inlineStr">
        <is>
          <t>くつろいだ</t>
        </is>
      </c>
      <c r="O22" s="31" t="inlineStr"/>
      <c r="P22" s="32">
        <f>IF(ISBLANK(O22), "", IF(TRIM(UPPER(O22))=TRIM(UPPER(Q22)), "○ 正解", "× 不正解"))</f>
        <v/>
      </c>
      <c r="Q22" s="32" t="inlineStr">
        <is>
          <t>A</t>
        </is>
      </c>
      <c r="R22" s="33" t="inlineStr">
        <is>
          <t>礼儀正しい</t>
        </is>
      </c>
      <c r="S22" s="34" t="inlineStr">
        <is>
          <t>The hotel clerk was polite and helpful.</t>
        </is>
      </c>
      <c r="T22" s="34" t="inlineStr">
        <is>
          <t>そのホテル従業員は礼儀正しく、親切だった。</t>
        </is>
      </c>
    </row>
    <row r="23" ht="24" customHeight="1">
      <c r="A23" s="35" t="inlineStr">
        <is>
          <t>Q18</t>
        </is>
      </c>
      <c r="B23" s="4" t="n">
        <v>418</v>
      </c>
      <c r="C23" s="36" t="inlineStr">
        <is>
          <t>population</t>
        </is>
      </c>
      <c r="D23" s="35" t="inlineStr">
        <is>
          <t>名詞</t>
        </is>
      </c>
      <c r="E23" s="37" t="inlineStr">
        <is>
          <t>それぞれ</t>
        </is>
      </c>
      <c r="F23" s="37" t="inlineStr">
        <is>
          <t>信用</t>
        </is>
      </c>
      <c r="G23" s="37" t="inlineStr">
        <is>
          <t>配管工</t>
        </is>
      </c>
      <c r="H23" s="37" t="inlineStr">
        <is>
          <t>人口</t>
        </is>
      </c>
      <c r="I23" s="37" t="inlineStr">
        <is>
          <t>分ける</t>
        </is>
      </c>
      <c r="J23" s="37" t="inlineStr">
        <is>
          <t>提携</t>
        </is>
      </c>
      <c r="K23" s="37" t="inlineStr">
        <is>
          <t>予算</t>
        </is>
      </c>
      <c r="L23" s="37" t="inlineStr">
        <is>
          <t>期限が切れる</t>
        </is>
      </c>
      <c r="M23" s="37" t="inlineStr">
        <is>
          <t>得る</t>
        </is>
      </c>
      <c r="N23" s="37" t="inlineStr">
        <is>
          <t>修復する</t>
        </is>
      </c>
      <c r="O23" s="31" t="inlineStr"/>
      <c r="P23" s="38">
        <f>IF(ISBLANK(O23), "", IF(TRIM(UPPER(O23))=TRIM(UPPER(Q23)), "○ 正解", "× 不正解"))</f>
        <v/>
      </c>
      <c r="Q23" s="38" t="inlineStr">
        <is>
          <t>D</t>
        </is>
      </c>
      <c r="R23" s="39" t="inlineStr">
        <is>
          <t>人口</t>
        </is>
      </c>
      <c r="S23" s="40" t="inlineStr">
        <is>
          <t>What is the population of India?</t>
        </is>
      </c>
      <c r="T23" s="40" t="inlineStr">
        <is>
          <t>インドの人口はどのくらいですか。</t>
        </is>
      </c>
    </row>
    <row r="24" ht="24" customHeight="1">
      <c r="A24" s="28" t="inlineStr">
        <is>
          <t>Q19</t>
        </is>
      </c>
      <c r="B24" s="9" t="n">
        <v>419</v>
      </c>
      <c r="C24" s="29" t="inlineStr">
        <is>
          <t>pour</t>
        </is>
      </c>
      <c r="D24" s="28" t="inlineStr">
        <is>
          <t>動詞</t>
        </is>
      </c>
      <c r="E24" s="30" t="inlineStr">
        <is>
          <t>期限が切れる</t>
        </is>
      </c>
      <c r="F24" s="30" t="inlineStr">
        <is>
          <t>身体の</t>
        </is>
      </c>
      <c r="G24" s="30" t="inlineStr">
        <is>
          <t>焦点を合わせる</t>
        </is>
      </c>
      <c r="H24" s="30" t="inlineStr">
        <is>
          <t>注ぐ</t>
        </is>
      </c>
      <c r="I24" s="30" t="inlineStr">
        <is>
          <t>交換する</t>
        </is>
      </c>
      <c r="J24" s="30" t="inlineStr">
        <is>
          <t>修正する</t>
        </is>
      </c>
      <c r="K24" s="30" t="inlineStr">
        <is>
          <t>拒否する</t>
        </is>
      </c>
      <c r="L24" s="30" t="inlineStr">
        <is>
          <t>修復する</t>
        </is>
      </c>
      <c r="M24" s="30" t="inlineStr">
        <is>
          <t>軽い飲食料</t>
        </is>
      </c>
      <c r="N24" s="30" t="inlineStr">
        <is>
          <t>手法</t>
        </is>
      </c>
      <c r="O24" s="31" t="inlineStr"/>
      <c r="P24" s="32">
        <f>IF(ISBLANK(O24), "", IF(TRIM(UPPER(O24))=TRIM(UPPER(Q24)), "○ 正解", "× 不正解"))</f>
        <v/>
      </c>
      <c r="Q24" s="32" t="inlineStr">
        <is>
          <t>D</t>
        </is>
      </c>
      <c r="R24" s="33" t="inlineStr">
        <is>
          <t>注ぐ</t>
        </is>
      </c>
      <c r="S24" s="34" t="inlineStr">
        <is>
          <t>She's pouring coffee into a cup.</t>
        </is>
      </c>
      <c r="T24" s="34" t="inlineStr">
        <is>
          <t>彼女はコーヒーをカップに注いでいる。</t>
        </is>
      </c>
    </row>
    <row r="25" ht="24" customHeight="1">
      <c r="A25" s="35" t="inlineStr">
        <is>
          <t>Q20</t>
        </is>
      </c>
      <c r="B25" s="4" t="n">
        <v>420</v>
      </c>
      <c r="C25" s="36" t="inlineStr">
        <is>
          <t>instant</t>
        </is>
      </c>
      <c r="D25" s="35" t="inlineStr">
        <is>
          <t>形容詞</t>
        </is>
      </c>
      <c r="E25" s="37" t="inlineStr">
        <is>
          <t>焦点を合わせる</t>
        </is>
      </c>
      <c r="F25" s="37" t="inlineStr">
        <is>
          <t>それぞれ</t>
        </is>
      </c>
      <c r="G25" s="37" t="inlineStr">
        <is>
          <t>更新する</t>
        </is>
      </c>
      <c r="H25" s="37" t="inlineStr">
        <is>
          <t>すぐの</t>
        </is>
      </c>
      <c r="I25" s="37" t="inlineStr">
        <is>
          <t>改良する</t>
        </is>
      </c>
      <c r="J25" s="37" t="inlineStr">
        <is>
          <t>尋ねる</t>
        </is>
      </c>
      <c r="K25" s="37" t="inlineStr">
        <is>
          <t>拒否する</t>
        </is>
      </c>
      <c r="L25" s="37" t="inlineStr">
        <is>
          <t>よく知っている</t>
        </is>
      </c>
      <c r="M25" s="37" t="inlineStr">
        <is>
          <t>配管工</t>
        </is>
      </c>
      <c r="N25" s="37" t="inlineStr">
        <is>
          <t>〜の前に</t>
        </is>
      </c>
      <c r="O25" s="31" t="inlineStr"/>
      <c r="P25" s="38">
        <f>IF(ISBLANK(O25), "", IF(TRIM(UPPER(O25))=TRIM(UPPER(Q25)), "○ 正解", "× 不正解"))</f>
        <v/>
      </c>
      <c r="Q25" s="38" t="inlineStr">
        <is>
          <t>D</t>
        </is>
      </c>
      <c r="R25" s="39" t="inlineStr">
        <is>
          <t>すぐの</t>
        </is>
      </c>
      <c r="S25" s="40" t="inlineStr">
        <is>
          <t>The book was an instant success in California.</t>
        </is>
      </c>
      <c r="T25" s="40" t="inlineStr">
        <is>
          <t>その本はカリフォルニアで即座の成功を収めた。</t>
        </is>
      </c>
    </row>
    <row r="26" ht="24" customHeight="1">
      <c r="A26" s="28" t="inlineStr">
        <is>
          <t>Q21</t>
        </is>
      </c>
      <c r="B26" s="9" t="n">
        <v>421</v>
      </c>
      <c r="C26" s="29" t="inlineStr">
        <is>
          <t>venue</t>
        </is>
      </c>
      <c r="D26" s="28" t="inlineStr">
        <is>
          <t>名詞</t>
        </is>
      </c>
      <c r="E26" s="30" t="inlineStr">
        <is>
          <t>注意</t>
        </is>
      </c>
      <c r="F26" s="30" t="inlineStr">
        <is>
          <t>意見</t>
        </is>
      </c>
      <c r="G26" s="30" t="inlineStr">
        <is>
          <t>会場</t>
        </is>
      </c>
      <c r="H26" s="30" t="inlineStr">
        <is>
          <t>拒否する</t>
        </is>
      </c>
      <c r="I26" s="30" t="inlineStr">
        <is>
          <t>最大の</t>
        </is>
      </c>
      <c r="J26" s="30" t="inlineStr">
        <is>
          <t>状況</t>
        </is>
      </c>
      <c r="K26" s="30" t="inlineStr">
        <is>
          <t>焦点を合わせる</t>
        </is>
      </c>
      <c r="L26" s="30" t="inlineStr">
        <is>
          <t>評判</t>
        </is>
      </c>
      <c r="M26" s="30" t="inlineStr">
        <is>
          <t>罰金</t>
        </is>
      </c>
      <c r="N26" s="30" t="inlineStr">
        <is>
          <t>同行する</t>
        </is>
      </c>
      <c r="O26" s="31" t="inlineStr"/>
      <c r="P26" s="32">
        <f>IF(ISBLANK(O26), "", IF(TRIM(UPPER(O26))=TRIM(UPPER(Q26)), "○ 正解", "× 不正解"))</f>
        <v/>
      </c>
      <c r="Q26" s="32" t="inlineStr">
        <is>
          <t>C</t>
        </is>
      </c>
      <c r="R26" s="33" t="inlineStr">
        <is>
          <t>会場</t>
        </is>
      </c>
      <c r="S26" s="34" t="inlineStr">
        <is>
          <t>Be sure to arrive at the venue on time.</t>
        </is>
      </c>
      <c r="T26" s="34" t="inlineStr">
        <is>
          <t>必ず時間どおりに会場に到着するようにしてください。</t>
        </is>
      </c>
    </row>
    <row r="27" ht="24" customHeight="1">
      <c r="A27" s="35" t="inlineStr">
        <is>
          <t>Q22</t>
        </is>
      </c>
      <c r="B27" s="4" t="n">
        <v>422</v>
      </c>
      <c r="C27" s="36" t="inlineStr">
        <is>
          <t>resign</t>
        </is>
      </c>
      <c r="D27" s="35" t="inlineStr">
        <is>
          <t>動詞</t>
        </is>
      </c>
      <c r="E27" s="37" t="inlineStr">
        <is>
          <t>起こりそうな</t>
        </is>
      </c>
      <c r="F27" s="37" t="inlineStr">
        <is>
          <t>辞任する</t>
        </is>
      </c>
      <c r="G27" s="37" t="inlineStr">
        <is>
          <t>専門家</t>
        </is>
      </c>
      <c r="H27" s="37" t="inlineStr">
        <is>
          <t>得る</t>
        </is>
      </c>
      <c r="I27" s="37" t="inlineStr">
        <is>
          <t>軽い飲食料</t>
        </is>
      </c>
      <c r="J27" s="37" t="inlineStr">
        <is>
          <t>分ける</t>
        </is>
      </c>
      <c r="K27" s="37" t="inlineStr">
        <is>
          <t>拒否する</t>
        </is>
      </c>
      <c r="L27" s="37" t="inlineStr">
        <is>
          <t>手法</t>
        </is>
      </c>
      <c r="M27" s="37" t="inlineStr">
        <is>
          <t>人口</t>
        </is>
      </c>
      <c r="N27" s="37" t="inlineStr">
        <is>
          <t>態度(姿勢)</t>
        </is>
      </c>
      <c r="O27" s="31" t="inlineStr"/>
      <c r="P27" s="38">
        <f>IF(ISBLANK(O27), "", IF(TRIM(UPPER(O27))=TRIM(UPPER(Q27)), "○ 正解", "× 不正解"))</f>
        <v/>
      </c>
      <c r="Q27" s="38" t="inlineStr">
        <is>
          <t>B</t>
        </is>
      </c>
      <c r="R27" s="39" t="inlineStr">
        <is>
          <t>辞任する</t>
        </is>
      </c>
      <c r="S27" s="40" t="inlineStr">
        <is>
          <t>The president resigned yesterday.</t>
        </is>
      </c>
      <c r="T27" s="40" t="inlineStr">
        <is>
          <t>社長は昨日、辞任した。</t>
        </is>
      </c>
    </row>
    <row r="28" ht="24" customHeight="1">
      <c r="A28" s="28" t="inlineStr">
        <is>
          <t>Q23</t>
        </is>
      </c>
      <c r="B28" s="9" t="n">
        <v>423</v>
      </c>
      <c r="C28" s="29" t="inlineStr">
        <is>
          <t>attach</t>
        </is>
      </c>
      <c r="D28" s="28" t="inlineStr">
        <is>
          <t>動詞</t>
        </is>
      </c>
      <c r="E28" s="30" t="inlineStr">
        <is>
          <t>指摘する</t>
        </is>
      </c>
      <c r="F28" s="30" t="inlineStr">
        <is>
          <t>予算</t>
        </is>
      </c>
      <c r="G28" s="30" t="inlineStr">
        <is>
          <t>気が付いている</t>
        </is>
      </c>
      <c r="H28" s="30" t="inlineStr">
        <is>
          <t>必要な</t>
        </is>
      </c>
      <c r="I28" s="30" t="inlineStr">
        <is>
          <t>状況</t>
        </is>
      </c>
      <c r="J28" s="30" t="inlineStr">
        <is>
          <t>よくある</t>
        </is>
      </c>
      <c r="K28" s="30" t="inlineStr">
        <is>
          <t>態度(姿勢)</t>
        </is>
      </c>
      <c r="L28" s="30" t="inlineStr">
        <is>
          <t>評判</t>
        </is>
      </c>
      <c r="M28" s="30" t="inlineStr">
        <is>
          <t>すぐの</t>
        </is>
      </c>
      <c r="N28" s="30" t="inlineStr">
        <is>
          <t>添付する</t>
        </is>
      </c>
      <c r="O28" s="31" t="inlineStr"/>
      <c r="P28" s="32">
        <f>IF(ISBLANK(O28), "", IF(TRIM(UPPER(O28))=TRIM(UPPER(Q28)), "○ 正解", "× 不正解"))</f>
        <v/>
      </c>
      <c r="Q28" s="32" t="inlineStr">
        <is>
          <t>J</t>
        </is>
      </c>
      <c r="R28" s="33" t="inlineStr">
        <is>
          <t>添付する</t>
        </is>
      </c>
      <c r="S28" s="34" t="inlineStr">
        <is>
          <t>I attached the conference schedule for your information.</t>
        </is>
      </c>
      <c r="T28" s="34" t="inlineStr">
        <is>
          <t>ご参考までに会議スケジュールを添付いたしました。</t>
        </is>
      </c>
    </row>
    <row r="29" ht="24" customHeight="1">
      <c r="A29" s="35" t="inlineStr">
        <is>
          <t>Q24</t>
        </is>
      </c>
      <c r="B29" s="4" t="n">
        <v>424</v>
      </c>
      <c r="C29" s="36" t="inlineStr">
        <is>
          <t>cancel</t>
        </is>
      </c>
      <c r="D29" s="35" t="inlineStr">
        <is>
          <t>動詞</t>
        </is>
      </c>
      <c r="E29" s="37" t="inlineStr">
        <is>
          <t>焦点を合わせる</t>
        </is>
      </c>
      <c r="F29" s="37" t="inlineStr">
        <is>
          <t>取り消す</t>
        </is>
      </c>
      <c r="G29" s="37" t="inlineStr">
        <is>
          <t>辞任する</t>
        </is>
      </c>
      <c r="H29" s="37" t="inlineStr">
        <is>
          <t>考える</t>
        </is>
      </c>
      <c r="I29" s="37" t="inlineStr">
        <is>
          <t>通勤する</t>
        </is>
      </c>
      <c r="J29" s="37" t="inlineStr">
        <is>
          <t>経済的な</t>
        </is>
      </c>
      <c r="K29" s="37" t="inlineStr">
        <is>
          <t>主催する</t>
        </is>
      </c>
      <c r="L29" s="37" t="inlineStr">
        <is>
          <t>内線</t>
        </is>
      </c>
      <c r="M29" s="37" t="inlineStr">
        <is>
          <t>専門家</t>
        </is>
      </c>
      <c r="N29" s="37" t="inlineStr">
        <is>
          <t>化学薬品</t>
        </is>
      </c>
      <c r="O29" s="31" t="inlineStr"/>
      <c r="P29" s="38">
        <f>IF(ISBLANK(O29), "", IF(TRIM(UPPER(O29))=TRIM(UPPER(Q29)), "○ 正解", "× 不正解"))</f>
        <v/>
      </c>
      <c r="Q29" s="38" t="inlineStr">
        <is>
          <t>B</t>
        </is>
      </c>
      <c r="R29" s="39" t="inlineStr">
        <is>
          <t>取り消す</t>
        </is>
      </c>
      <c r="S29" s="40" t="inlineStr">
        <is>
          <t>I'd like to cancel my reservation.</t>
        </is>
      </c>
      <c r="T29" s="40" t="inlineStr">
        <is>
          <t>予約の取り消しをお願いします。</t>
        </is>
      </c>
    </row>
    <row r="30" ht="24" customHeight="1">
      <c r="A30" s="28" t="inlineStr">
        <is>
          <t>Q25</t>
        </is>
      </c>
      <c r="B30" s="9" t="n">
        <v>425</v>
      </c>
      <c r="C30" s="29" t="inlineStr">
        <is>
          <t>common</t>
        </is>
      </c>
      <c r="D30" s="28" t="inlineStr">
        <is>
          <t>形容詞</t>
        </is>
      </c>
      <c r="E30" s="30" t="inlineStr">
        <is>
          <t>それぞれ</t>
        </is>
      </c>
      <c r="F30" s="30" t="inlineStr">
        <is>
          <t>状況</t>
        </is>
      </c>
      <c r="G30" s="30" t="inlineStr">
        <is>
          <t>交換する</t>
        </is>
      </c>
      <c r="H30" s="30" t="inlineStr">
        <is>
          <t>注ぐ</t>
        </is>
      </c>
      <c r="I30" s="30" t="inlineStr">
        <is>
          <t>収入</t>
        </is>
      </c>
      <c r="J30" s="30" t="inlineStr">
        <is>
          <t>よくある</t>
        </is>
      </c>
      <c r="K30" s="30" t="inlineStr">
        <is>
          <t>化学薬品</t>
        </is>
      </c>
      <c r="L30" s="30" t="inlineStr">
        <is>
          <t>〜のままでいる</t>
        </is>
      </c>
      <c r="M30" s="30" t="inlineStr">
        <is>
          <t>修復する</t>
        </is>
      </c>
      <c r="N30" s="30" t="inlineStr">
        <is>
          <t>会話</t>
        </is>
      </c>
      <c r="O30" s="31" t="inlineStr"/>
      <c r="P30" s="32">
        <f>IF(ISBLANK(O30), "", IF(TRIM(UPPER(O30))=TRIM(UPPER(Q30)), "○ 正解", "× 不正解"))</f>
        <v/>
      </c>
      <c r="Q30" s="32" t="inlineStr">
        <is>
          <t>F</t>
        </is>
      </c>
      <c r="R30" s="33" t="inlineStr">
        <is>
          <t>よくある</t>
        </is>
      </c>
      <c r="S30" s="34" t="inlineStr">
        <is>
          <t>It's a common spelling mistake.</t>
        </is>
      </c>
      <c r="T30" s="34" t="inlineStr">
        <is>
          <t>それはよくあるスペルミスです。</t>
        </is>
      </c>
    </row>
    <row r="31" ht="24" customHeight="1">
      <c r="A31" s="35" t="inlineStr">
        <is>
          <t>Q26</t>
        </is>
      </c>
      <c r="B31" s="4" t="n">
        <v>426</v>
      </c>
      <c r="C31" s="36" t="inlineStr">
        <is>
          <t>conversation</t>
        </is>
      </c>
      <c r="D31" s="35" t="inlineStr">
        <is>
          <t>名詞</t>
        </is>
      </c>
      <c r="E31" s="37" t="inlineStr">
        <is>
          <t>組み立てる</t>
        </is>
      </c>
      <c r="F31" s="37" t="inlineStr">
        <is>
          <t>アンケート</t>
        </is>
      </c>
      <c r="G31" s="37" t="inlineStr">
        <is>
          <t>処理する</t>
        </is>
      </c>
      <c r="H31" s="37" t="inlineStr">
        <is>
          <t>早急な</t>
        </is>
      </c>
      <c r="I31" s="37" t="inlineStr">
        <is>
          <t>不足</t>
        </is>
      </c>
      <c r="J31" s="37" t="inlineStr">
        <is>
          <t>会話</t>
        </is>
      </c>
      <c r="K31" s="37" t="inlineStr">
        <is>
          <t>臨時の</t>
        </is>
      </c>
      <c r="L31" s="37" t="inlineStr">
        <is>
          <t>出迎える</t>
        </is>
      </c>
      <c r="M31" s="37" t="inlineStr">
        <is>
          <t>移転する</t>
        </is>
      </c>
      <c r="N31" s="37" t="inlineStr">
        <is>
          <t>必要な</t>
        </is>
      </c>
      <c r="O31" s="31" t="inlineStr"/>
      <c r="P31" s="38">
        <f>IF(ISBLANK(O31), "", IF(TRIM(UPPER(O31))=TRIM(UPPER(Q31)), "○ 正解", "× 不正解"))</f>
        <v/>
      </c>
      <c r="Q31" s="38" t="inlineStr">
        <is>
          <t>F</t>
        </is>
      </c>
      <c r="R31" s="39" t="inlineStr">
        <is>
          <t>会話</t>
        </is>
      </c>
      <c r="S31" s="40" t="inlineStr">
        <is>
          <t>They're having a conversation.</t>
        </is>
      </c>
      <c r="T31" s="40" t="inlineStr">
        <is>
          <t>彼らは会話をしている。</t>
        </is>
      </c>
    </row>
    <row r="32" ht="24" customHeight="1">
      <c r="A32" s="28" t="inlineStr">
        <is>
          <t>Q27</t>
        </is>
      </c>
      <c r="B32" s="9" t="n">
        <v>427</v>
      </c>
      <c r="C32" s="29" t="inlineStr">
        <is>
          <t>economical</t>
        </is>
      </c>
      <c r="D32" s="28" t="inlineStr">
        <is>
          <t>形容詞</t>
        </is>
      </c>
      <c r="E32" s="30" t="inlineStr">
        <is>
          <t>改良する</t>
        </is>
      </c>
      <c r="F32" s="30" t="inlineStr">
        <is>
          <t>くつろいだ</t>
        </is>
      </c>
      <c r="G32" s="30" t="inlineStr">
        <is>
          <t>すぐの</t>
        </is>
      </c>
      <c r="H32" s="30" t="inlineStr">
        <is>
          <t>分ける</t>
        </is>
      </c>
      <c r="I32" s="30" t="inlineStr">
        <is>
          <t>車に乗せること</t>
        </is>
      </c>
      <c r="J32" s="30" t="inlineStr">
        <is>
          <t>経済的な</t>
        </is>
      </c>
      <c r="K32" s="30" t="inlineStr">
        <is>
          <t>小売り</t>
        </is>
      </c>
      <c r="L32" s="30" t="inlineStr">
        <is>
          <t>主催する</t>
        </is>
      </c>
      <c r="M32" s="30" t="inlineStr">
        <is>
          <t>請求書</t>
        </is>
      </c>
      <c r="N32" s="30" t="inlineStr">
        <is>
          <t>軽い飲食料</t>
        </is>
      </c>
      <c r="O32" s="31" t="inlineStr"/>
      <c r="P32" s="32">
        <f>IF(ISBLANK(O32), "", IF(TRIM(UPPER(O32))=TRIM(UPPER(Q32)), "○ 正解", "× 不正解"))</f>
        <v/>
      </c>
      <c r="Q32" s="32" t="inlineStr">
        <is>
          <t>F</t>
        </is>
      </c>
      <c r="R32" s="33" t="inlineStr">
        <is>
          <t>経済的な</t>
        </is>
      </c>
      <c r="S32" s="34" t="inlineStr">
        <is>
          <t>It's more economical to buy in bulk.</t>
        </is>
      </c>
      <c r="T32" s="34" t="inlineStr">
        <is>
          <t>まとめて買うほうが経済的です。</t>
        </is>
      </c>
    </row>
    <row r="33" ht="24" customHeight="1">
      <c r="A33" s="35" t="inlineStr">
        <is>
          <t>Q28</t>
        </is>
      </c>
      <c r="B33" s="4" t="n">
        <v>428</v>
      </c>
      <c r="C33" s="36" t="inlineStr">
        <is>
          <t>exchange</t>
        </is>
      </c>
      <c r="D33" s="35" t="inlineStr">
        <is>
          <t>動詞</t>
        </is>
      </c>
      <c r="E33" s="37" t="inlineStr">
        <is>
          <t>主催する</t>
        </is>
      </c>
      <c r="F33" s="37" t="inlineStr">
        <is>
          <t>〜の前に</t>
        </is>
      </c>
      <c r="G33" s="37" t="inlineStr">
        <is>
          <t>収入</t>
        </is>
      </c>
      <c r="H33" s="37" t="inlineStr">
        <is>
          <t>明確な・特定の</t>
        </is>
      </c>
      <c r="I33" s="37" t="inlineStr">
        <is>
          <t>化学薬品</t>
        </is>
      </c>
      <c r="J33" s="37" t="inlineStr">
        <is>
          <t>交換する</t>
        </is>
      </c>
      <c r="K33" s="37" t="inlineStr">
        <is>
          <t>手法</t>
        </is>
      </c>
      <c r="L33" s="37" t="inlineStr">
        <is>
          <t>定期購読する</t>
        </is>
      </c>
      <c r="M33" s="37" t="inlineStr">
        <is>
          <t>特定の</t>
        </is>
      </c>
      <c r="N33" s="37" t="inlineStr">
        <is>
          <t>最大の</t>
        </is>
      </c>
      <c r="O33" s="31" t="inlineStr"/>
      <c r="P33" s="38">
        <f>IF(ISBLANK(O33), "", IF(TRIM(UPPER(O33))=TRIM(UPPER(Q33)), "○ 正解", "× 不正解"))</f>
        <v/>
      </c>
      <c r="Q33" s="38" t="inlineStr">
        <is>
          <t>F</t>
        </is>
      </c>
      <c r="R33" s="39" t="inlineStr">
        <is>
          <t>交換する</t>
        </is>
      </c>
      <c r="S33" s="40" t="inlineStr">
        <is>
          <t>Can I exchange this jacket for a black one?</t>
        </is>
      </c>
      <c r="T33" s="40" t="inlineStr">
        <is>
          <t>このジャケットを黒のものと交換することはできますか。</t>
        </is>
      </c>
    </row>
    <row r="34" ht="24" customHeight="1">
      <c r="A34" s="28" t="inlineStr">
        <is>
          <t>Q29</t>
        </is>
      </c>
      <c r="B34" s="9" t="n">
        <v>429</v>
      </c>
      <c r="C34" s="29" t="inlineStr">
        <is>
          <t>expert</t>
        </is>
      </c>
      <c r="D34" s="28" t="inlineStr">
        <is>
          <t>名詞</t>
        </is>
      </c>
      <c r="E34" s="30" t="inlineStr">
        <is>
          <t>不動産</t>
        </is>
      </c>
      <c r="F34" s="30" t="inlineStr">
        <is>
          <t>求める</t>
        </is>
      </c>
      <c r="G34" s="30" t="inlineStr">
        <is>
          <t>交換する</t>
        </is>
      </c>
      <c r="H34" s="30" t="inlineStr">
        <is>
          <t>普通は</t>
        </is>
      </c>
      <c r="I34" s="30" t="inlineStr">
        <is>
          <t>早急な</t>
        </is>
      </c>
      <c r="J34" s="30" t="inlineStr">
        <is>
          <t>納得させる</t>
        </is>
      </c>
      <c r="K34" s="30" t="inlineStr">
        <is>
          <t>辞任する</t>
        </is>
      </c>
      <c r="L34" s="30" t="inlineStr">
        <is>
          <t>専門家</t>
        </is>
      </c>
      <c r="M34" s="30" t="inlineStr">
        <is>
          <t>起こりそうな</t>
        </is>
      </c>
      <c r="N34" s="30" t="inlineStr">
        <is>
          <t>分ける</t>
        </is>
      </c>
      <c r="O34" s="31" t="inlineStr"/>
      <c r="P34" s="32">
        <f>IF(ISBLANK(O34), "", IF(TRIM(UPPER(O34))=TRIM(UPPER(Q34)), "○ 正解", "× 不正解"))</f>
        <v/>
      </c>
      <c r="Q34" s="32" t="inlineStr">
        <is>
          <t>H</t>
        </is>
      </c>
      <c r="R34" s="33" t="inlineStr">
        <is>
          <t>専門家</t>
        </is>
      </c>
      <c r="S34" s="34" t="inlineStr">
        <is>
          <t>Peter is a computer expert.</t>
        </is>
      </c>
      <c r="T34" s="34" t="inlineStr">
        <is>
          <t>ピーターはコンピュータの専門家です。</t>
        </is>
      </c>
    </row>
    <row r="35" ht="24" customHeight="1">
      <c r="A35" s="35" t="inlineStr">
        <is>
          <t>Q30</t>
        </is>
      </c>
      <c r="B35" s="4" t="n">
        <v>430</v>
      </c>
      <c r="C35" s="36" t="inlineStr">
        <is>
          <t>extension</t>
        </is>
      </c>
      <c r="D35" s="35" t="inlineStr">
        <is>
          <t>名詞</t>
        </is>
      </c>
      <c r="E35" s="37" t="inlineStr">
        <is>
          <t>習慣的に繰り返されること</t>
        </is>
      </c>
      <c r="F35" s="37" t="inlineStr">
        <is>
          <t>よく知っている</t>
        </is>
      </c>
      <c r="G35" s="37" t="inlineStr">
        <is>
          <t>通勤する</t>
        </is>
      </c>
      <c r="H35" s="37" t="inlineStr">
        <is>
          <t>〜に関する</t>
        </is>
      </c>
      <c r="I35" s="37" t="inlineStr">
        <is>
          <t>上の階に</t>
        </is>
      </c>
      <c r="J35" s="37" t="inlineStr">
        <is>
          <t>意見</t>
        </is>
      </c>
      <c r="K35" s="37" t="inlineStr">
        <is>
          <t>影響力</t>
        </is>
      </c>
      <c r="L35" s="37" t="inlineStr">
        <is>
          <t>くつろいだ</t>
        </is>
      </c>
      <c r="M35" s="37" t="inlineStr">
        <is>
          <t>内線</t>
        </is>
      </c>
      <c r="N35" s="37" t="inlineStr">
        <is>
          <t>必要な</t>
        </is>
      </c>
      <c r="O35" s="31" t="inlineStr"/>
      <c r="P35" s="38">
        <f>IF(ISBLANK(O35), "", IF(TRIM(UPPER(O35))=TRIM(UPPER(Q35)), "○ 正解", "× 不正解"))</f>
        <v/>
      </c>
      <c r="Q35" s="38" t="inlineStr">
        <is>
          <t>I</t>
        </is>
      </c>
      <c r="R35" s="39" t="inlineStr">
        <is>
          <t>内線</t>
        </is>
      </c>
      <c r="S35" s="40" t="inlineStr">
        <is>
          <t>What's your extension number?</t>
        </is>
      </c>
      <c r="T35" s="40" t="inlineStr">
        <is>
          <t>あなたの内線番号は何番ですか。</t>
        </is>
      </c>
    </row>
    <row r="36" ht="24" customHeight="1">
      <c r="A36" s="28" t="inlineStr">
        <is>
          <t>Q31</t>
        </is>
      </c>
      <c r="B36" s="9" t="n">
        <v>431</v>
      </c>
      <c r="C36" s="29" t="inlineStr">
        <is>
          <t>familiar</t>
        </is>
      </c>
      <c r="D36" s="28" t="inlineStr">
        <is>
          <t>形容詞</t>
        </is>
      </c>
      <c r="E36" s="30" t="inlineStr">
        <is>
          <t>通勤する</t>
        </is>
      </c>
      <c r="F36" s="30" t="inlineStr">
        <is>
          <t>改良する</t>
        </is>
      </c>
      <c r="G36" s="30" t="inlineStr">
        <is>
          <t>普通は</t>
        </is>
      </c>
      <c r="H36" s="30" t="inlineStr">
        <is>
          <t>評判</t>
        </is>
      </c>
      <c r="I36" s="30" t="inlineStr">
        <is>
          <t>すぐの</t>
        </is>
      </c>
      <c r="J36" s="30" t="inlineStr">
        <is>
          <t>軽い飲食料</t>
        </is>
      </c>
      <c r="K36" s="30" t="inlineStr">
        <is>
          <t>それぞれ</t>
        </is>
      </c>
      <c r="L36" s="30" t="inlineStr">
        <is>
          <t>添付する</t>
        </is>
      </c>
      <c r="M36" s="30" t="inlineStr">
        <is>
          <t>よく知っている</t>
        </is>
      </c>
      <c r="N36" s="30" t="inlineStr">
        <is>
          <t>小売り</t>
        </is>
      </c>
      <c r="O36" s="31" t="inlineStr"/>
      <c r="P36" s="32">
        <f>IF(ISBLANK(O36), "", IF(TRIM(UPPER(O36))=TRIM(UPPER(Q36)), "○ 正解", "× 不正解"))</f>
        <v/>
      </c>
      <c r="Q36" s="32" t="inlineStr">
        <is>
          <t>I</t>
        </is>
      </c>
      <c r="R36" s="33" t="inlineStr">
        <is>
          <t>よく知っている</t>
        </is>
      </c>
      <c r="S36" s="34" t="inlineStr">
        <is>
          <t>Are you familiar with this software?</t>
        </is>
      </c>
      <c r="T36" s="34" t="inlineStr">
        <is>
          <t>あなたはこのソフトウェアのことをよく知っていますか。</t>
        </is>
      </c>
    </row>
    <row r="37" ht="24" customHeight="1">
      <c r="A37" s="35" t="inlineStr">
        <is>
          <t>Q32</t>
        </is>
      </c>
      <c r="B37" s="4" t="n">
        <v>432</v>
      </c>
      <c r="C37" s="36" t="inlineStr">
        <is>
          <t>host</t>
        </is>
      </c>
      <c r="D37" s="35" t="inlineStr">
        <is>
          <t>動詞</t>
        </is>
      </c>
      <c r="E37" s="37" t="inlineStr">
        <is>
          <t>明確な・特定の</t>
        </is>
      </c>
      <c r="F37" s="37" t="inlineStr">
        <is>
          <t>添付する</t>
        </is>
      </c>
      <c r="G37" s="37" t="inlineStr">
        <is>
          <t>不足</t>
        </is>
      </c>
      <c r="H37" s="37" t="inlineStr">
        <is>
          <t>分ける</t>
        </is>
      </c>
      <c r="I37" s="37" t="inlineStr">
        <is>
          <t>収入</t>
        </is>
      </c>
      <c r="J37" s="37" t="inlineStr">
        <is>
          <t>修正する</t>
        </is>
      </c>
      <c r="K37" s="37" t="inlineStr">
        <is>
          <t>主催する</t>
        </is>
      </c>
      <c r="L37" s="37" t="inlineStr">
        <is>
          <t>車に乗せること</t>
        </is>
      </c>
      <c r="M37" s="37" t="inlineStr">
        <is>
          <t>配管工</t>
        </is>
      </c>
      <c r="N37" s="37" t="inlineStr">
        <is>
          <t>移転する</t>
        </is>
      </c>
      <c r="O37" s="31" t="inlineStr"/>
      <c r="P37" s="38">
        <f>IF(ISBLANK(O37), "", IF(TRIM(UPPER(O37))=TRIM(UPPER(Q37)), "○ 正解", "× 不正解"))</f>
        <v/>
      </c>
      <c r="Q37" s="38" t="inlineStr">
        <is>
          <t>G</t>
        </is>
      </c>
      <c r="R37" s="39" t="inlineStr">
        <is>
          <t>主催する</t>
        </is>
      </c>
      <c r="S37" s="40" t="inlineStr">
        <is>
          <t>The city hosts a music festival every year.</t>
        </is>
      </c>
      <c r="T37" s="40" t="inlineStr">
        <is>
          <t>その市は毎年、音楽祭を主催する。</t>
        </is>
      </c>
    </row>
    <row r="38" ht="24" customHeight="1">
      <c r="A38" s="28" t="inlineStr">
        <is>
          <t>Q33</t>
        </is>
      </c>
      <c r="B38" s="9" t="n">
        <v>433</v>
      </c>
      <c r="C38" s="29" t="inlineStr">
        <is>
          <t>ride</t>
        </is>
      </c>
      <c r="D38" s="28" t="inlineStr">
        <is>
          <t>名詞</t>
        </is>
      </c>
      <c r="E38" s="30" t="inlineStr">
        <is>
          <t>明確な・特定の</t>
        </is>
      </c>
      <c r="F38" s="30" t="inlineStr">
        <is>
          <t>最大の</t>
        </is>
      </c>
      <c r="G38" s="30" t="inlineStr">
        <is>
          <t>注意</t>
        </is>
      </c>
      <c r="H38" s="30" t="inlineStr">
        <is>
          <t>車に乗せること</t>
        </is>
      </c>
      <c r="I38" s="30" t="inlineStr">
        <is>
          <t>臨時の</t>
        </is>
      </c>
      <c r="J38" s="30" t="inlineStr">
        <is>
          <t>実地説明をする</t>
        </is>
      </c>
      <c r="K38" s="30" t="inlineStr">
        <is>
          <t>指摘する</t>
        </is>
      </c>
      <c r="L38" s="30" t="inlineStr">
        <is>
          <t>尋ねる</t>
        </is>
      </c>
      <c r="M38" s="30" t="inlineStr">
        <is>
          <t>適任である</t>
        </is>
      </c>
      <c r="N38" s="30" t="inlineStr">
        <is>
          <t>求める</t>
        </is>
      </c>
      <c r="O38" s="31" t="inlineStr"/>
      <c r="P38" s="32">
        <f>IF(ISBLANK(O38), "", IF(TRIM(UPPER(O38))=TRIM(UPPER(Q38)), "○ 正解", "× 不正解"))</f>
        <v/>
      </c>
      <c r="Q38" s="32" t="inlineStr">
        <is>
          <t>D</t>
        </is>
      </c>
      <c r="R38" s="33" t="inlineStr">
        <is>
          <t>車に乗せること</t>
        </is>
      </c>
      <c r="S38" s="34" t="inlineStr">
        <is>
          <t>Can you give me a ride to the station?</t>
        </is>
      </c>
      <c r="T38" s="34" t="inlineStr">
        <is>
          <t>駅まで車に乗せていってもらえますか。</t>
        </is>
      </c>
    </row>
    <row r="39" ht="24" customHeight="1">
      <c r="A39" s="35" t="inlineStr">
        <is>
          <t>Q34</t>
        </is>
      </c>
      <c r="B39" s="4" t="n">
        <v>434</v>
      </c>
      <c r="C39" s="36" t="inlineStr">
        <is>
          <t>seek</t>
        </is>
      </c>
      <c r="D39" s="35" t="inlineStr">
        <is>
          <t>動詞</t>
        </is>
      </c>
      <c r="E39" s="37" t="inlineStr">
        <is>
          <t>意見</t>
        </is>
      </c>
      <c r="F39" s="37" t="inlineStr">
        <is>
          <t>小売り</t>
        </is>
      </c>
      <c r="G39" s="37" t="inlineStr">
        <is>
          <t>辞任する(身を引く)</t>
        </is>
      </c>
      <c r="H39" s="37" t="inlineStr">
        <is>
          <t>求める</t>
        </is>
      </c>
      <c r="I39" s="37" t="inlineStr">
        <is>
          <t>設立する</t>
        </is>
      </c>
      <c r="J39" s="37" t="inlineStr">
        <is>
          <t>注意</t>
        </is>
      </c>
      <c r="K39" s="37" t="inlineStr">
        <is>
          <t>経済的な</t>
        </is>
      </c>
      <c r="L39" s="37" t="inlineStr">
        <is>
          <t>それぞれ</t>
        </is>
      </c>
      <c r="M39" s="37" t="inlineStr">
        <is>
          <t>重役</t>
        </is>
      </c>
      <c r="N39" s="37" t="inlineStr">
        <is>
          <t>必要な</t>
        </is>
      </c>
      <c r="O39" s="31" t="inlineStr"/>
      <c r="P39" s="38">
        <f>IF(ISBLANK(O39), "", IF(TRIM(UPPER(O39))=TRIM(UPPER(Q39)), "○ 正解", "× 不正解"))</f>
        <v/>
      </c>
      <c r="Q39" s="38" t="inlineStr">
        <is>
          <t>D</t>
        </is>
      </c>
      <c r="R39" s="39" t="inlineStr">
        <is>
          <t>求める</t>
        </is>
      </c>
      <c r="S39" s="40" t="inlineStr">
        <is>
          <t>We are seeking an accountant.</t>
        </is>
      </c>
      <c r="T39" s="40" t="inlineStr">
        <is>
          <t>当社は経理担当者を求めています。</t>
        </is>
      </c>
    </row>
    <row r="40" ht="24" customHeight="1">
      <c r="A40" s="28" t="inlineStr">
        <is>
          <t>Q35</t>
        </is>
      </c>
      <c r="B40" s="9" t="n">
        <v>435</v>
      </c>
      <c r="C40" s="29" t="inlineStr">
        <is>
          <t>step down</t>
        </is>
      </c>
      <c r="D40" s="28" t="inlineStr">
        <is>
          <t>動詞</t>
        </is>
      </c>
      <c r="E40" s="30" t="inlineStr">
        <is>
          <t>専門家</t>
        </is>
      </c>
      <c r="F40" s="30" t="inlineStr">
        <is>
          <t>要因</t>
        </is>
      </c>
      <c r="G40" s="30" t="inlineStr">
        <is>
          <t>辞任する(身を引く)</t>
        </is>
      </c>
      <c r="H40" s="30" t="inlineStr">
        <is>
          <t>予算</t>
        </is>
      </c>
      <c r="I40" s="30" t="inlineStr">
        <is>
          <t>不動産</t>
        </is>
      </c>
      <c r="J40" s="30" t="inlineStr">
        <is>
          <t>小売り</t>
        </is>
      </c>
      <c r="K40" s="30" t="inlineStr">
        <is>
          <t>拒否する</t>
        </is>
      </c>
      <c r="L40" s="30" t="inlineStr">
        <is>
          <t>設立する</t>
        </is>
      </c>
      <c r="M40" s="30" t="inlineStr">
        <is>
          <t>意見</t>
        </is>
      </c>
      <c r="N40" s="30" t="inlineStr">
        <is>
          <t>研究所</t>
        </is>
      </c>
      <c r="O40" s="31" t="inlineStr"/>
      <c r="P40" s="32">
        <f>IF(ISBLANK(O40), "", IF(TRIM(UPPER(O40))=TRIM(UPPER(Q40)), "○ 正解", "× 不正解"))</f>
        <v/>
      </c>
      <c r="Q40" s="32" t="inlineStr">
        <is>
          <t>C</t>
        </is>
      </c>
      <c r="R40" s="33" t="inlineStr">
        <is>
          <t>辞任する(身を引く)</t>
        </is>
      </c>
      <c r="S40" s="34" t="inlineStr">
        <is>
          <t>Ms. Garcia will step down from her post in December.</t>
        </is>
      </c>
      <c r="T40" s="34" t="inlineStr">
        <is>
          <t>ガルシアさんは今の職を12月に辞める。</t>
        </is>
      </c>
    </row>
    <row r="41" ht="24" customHeight="1">
      <c r="A41" s="35" t="inlineStr">
        <is>
          <t>Q36</t>
        </is>
      </c>
      <c r="B41" s="4" t="n">
        <v>436</v>
      </c>
      <c r="C41" s="36" t="inlineStr">
        <is>
          <t>technique</t>
        </is>
      </c>
      <c r="D41" s="35" t="inlineStr">
        <is>
          <t>名詞</t>
        </is>
      </c>
      <c r="E41" s="37" t="inlineStr">
        <is>
          <t>必要な</t>
        </is>
      </c>
      <c r="F41" s="37" t="inlineStr">
        <is>
          <t>よくある</t>
        </is>
      </c>
      <c r="G41" s="37" t="inlineStr">
        <is>
          <t>拒否する</t>
        </is>
      </c>
      <c r="H41" s="37" t="inlineStr">
        <is>
          <t>会場</t>
        </is>
      </c>
      <c r="I41" s="37" t="inlineStr">
        <is>
          <t>考える</t>
        </is>
      </c>
      <c r="J41" s="37" t="inlineStr">
        <is>
          <t>手法</t>
        </is>
      </c>
      <c r="K41" s="37" t="inlineStr">
        <is>
          <t>収入</t>
        </is>
      </c>
      <c r="L41" s="37" t="inlineStr">
        <is>
          <t>化学薬品</t>
        </is>
      </c>
      <c r="M41" s="37" t="inlineStr">
        <is>
          <t>出迎える</t>
        </is>
      </c>
      <c r="N41" s="37" t="inlineStr">
        <is>
          <t>改良する</t>
        </is>
      </c>
      <c r="O41" s="31" t="inlineStr"/>
      <c r="P41" s="38">
        <f>IF(ISBLANK(O41), "", IF(TRIM(UPPER(O41))=TRIM(UPPER(Q41)), "○ 正解", "× 不正解"))</f>
        <v/>
      </c>
      <c r="Q41" s="38" t="inlineStr">
        <is>
          <t>F</t>
        </is>
      </c>
      <c r="R41" s="39" t="inlineStr">
        <is>
          <t>手法</t>
        </is>
      </c>
      <c r="S41" s="40" t="inlineStr">
        <is>
          <t>The agency uses various advertising techniques.</t>
        </is>
      </c>
      <c r="T41" s="40" t="inlineStr">
        <is>
          <t>その代理店はさまざまな広告手法を使う。</t>
        </is>
      </c>
    </row>
    <row r="42" ht="24" customHeight="1">
      <c r="A42" s="28" t="inlineStr">
        <is>
          <t>Q37</t>
        </is>
      </c>
      <c r="B42" s="9" t="n">
        <v>437</v>
      </c>
      <c r="C42" s="29" t="inlineStr">
        <is>
          <t>temporary</t>
        </is>
      </c>
      <c r="D42" s="28" t="inlineStr">
        <is>
          <t>形容詞</t>
        </is>
      </c>
      <c r="E42" s="30" t="inlineStr">
        <is>
          <t>取り消す</t>
        </is>
      </c>
      <c r="F42" s="30" t="inlineStr">
        <is>
          <t>影響力</t>
        </is>
      </c>
      <c r="G42" s="30" t="inlineStr">
        <is>
          <t>思い出させる</t>
        </is>
      </c>
      <c r="H42" s="30" t="inlineStr">
        <is>
          <t>身体の</t>
        </is>
      </c>
      <c r="I42" s="30" t="inlineStr">
        <is>
          <t>臨時の</t>
        </is>
      </c>
      <c r="J42" s="30" t="inlineStr">
        <is>
          <t>すぐの</t>
        </is>
      </c>
      <c r="K42" s="30" t="inlineStr">
        <is>
          <t>実地説明をする</t>
        </is>
      </c>
      <c r="L42" s="30" t="inlineStr">
        <is>
          <t>更新する</t>
        </is>
      </c>
      <c r="M42" s="30" t="inlineStr">
        <is>
          <t>配管工</t>
        </is>
      </c>
      <c r="N42" s="30" t="inlineStr">
        <is>
          <t>よく知っている</t>
        </is>
      </c>
      <c r="O42" s="31" t="inlineStr"/>
      <c r="P42" s="32">
        <f>IF(ISBLANK(O42), "", IF(TRIM(UPPER(O42))=TRIM(UPPER(Q42)), "○ 正解", "× 不正解"))</f>
        <v/>
      </c>
      <c r="Q42" s="32" t="inlineStr">
        <is>
          <t>E</t>
        </is>
      </c>
      <c r="R42" s="33" t="inlineStr">
        <is>
          <t>臨時の</t>
        </is>
      </c>
      <c r="S42" s="34" t="inlineStr">
        <is>
          <t>I found a temporary job at a department store.</t>
        </is>
      </c>
      <c r="T42" s="34" t="inlineStr">
        <is>
          <t>私はデパートでの臨時の仕事を見つけた。</t>
        </is>
      </c>
    </row>
    <row r="43" ht="24" customHeight="1">
      <c r="A43" s="35" t="inlineStr">
        <is>
          <t>Q38</t>
        </is>
      </c>
      <c r="B43" s="4" t="n">
        <v>438</v>
      </c>
      <c r="C43" s="36" t="inlineStr">
        <is>
          <t>factor</t>
        </is>
      </c>
      <c r="D43" s="35" t="inlineStr">
        <is>
          <t>名詞</t>
        </is>
      </c>
      <c r="E43" s="37" t="inlineStr">
        <is>
          <t>辞任する</t>
        </is>
      </c>
      <c r="F43" s="37" t="inlineStr">
        <is>
          <t>請求書</t>
        </is>
      </c>
      <c r="G43" s="37" t="inlineStr">
        <is>
          <t>求める</t>
        </is>
      </c>
      <c r="H43" s="37" t="inlineStr">
        <is>
          <t>10年</t>
        </is>
      </c>
      <c r="I43" s="37" t="inlineStr">
        <is>
          <t>〜と比べて</t>
        </is>
      </c>
      <c r="J43" s="37" t="inlineStr">
        <is>
          <t>要因</t>
        </is>
      </c>
      <c r="K43" s="37" t="inlineStr">
        <is>
          <t>温暖な</t>
        </is>
      </c>
      <c r="L43" s="37" t="inlineStr">
        <is>
          <t>更新する</t>
        </is>
      </c>
      <c r="M43" s="37" t="inlineStr">
        <is>
          <t>〜のままでいる</t>
        </is>
      </c>
      <c r="N43" s="37" t="inlineStr">
        <is>
          <t>注ぐ</t>
        </is>
      </c>
      <c r="O43" s="31" t="inlineStr"/>
      <c r="P43" s="38">
        <f>IF(ISBLANK(O43), "", IF(TRIM(UPPER(O43))=TRIM(UPPER(Q43)), "○ 正解", "× 不正解"))</f>
        <v/>
      </c>
      <c r="Q43" s="38" t="inlineStr">
        <is>
          <t>F</t>
        </is>
      </c>
      <c r="R43" s="39" t="inlineStr">
        <is>
          <t>要因</t>
        </is>
      </c>
      <c r="S43" s="40" t="inlineStr">
        <is>
          <t>What's the most important factor in choosing a job?</t>
        </is>
      </c>
      <c r="T43" s="40" t="inlineStr">
        <is>
          <t>仕事を選ぶ際、最も重要な要因は何ですか。</t>
        </is>
      </c>
    </row>
    <row r="44" ht="24" customHeight="1">
      <c r="A44" s="28" t="inlineStr">
        <is>
          <t>Q39</t>
        </is>
      </c>
      <c r="B44" s="9" t="n">
        <v>439</v>
      </c>
      <c r="C44" s="29" t="inlineStr">
        <is>
          <t>assemble</t>
        </is>
      </c>
      <c r="D44" s="28" t="inlineStr">
        <is>
          <t>動詞</t>
        </is>
      </c>
      <c r="E44" s="30" t="inlineStr">
        <is>
          <t>明確な・特定の</t>
        </is>
      </c>
      <c r="F44" s="30" t="inlineStr">
        <is>
          <t>組み立てる</t>
        </is>
      </c>
      <c r="G44" s="30" t="inlineStr">
        <is>
          <t>要因</t>
        </is>
      </c>
      <c r="H44" s="30" t="inlineStr">
        <is>
          <t>移転する</t>
        </is>
      </c>
      <c r="I44" s="30" t="inlineStr">
        <is>
          <t>尋ねる</t>
        </is>
      </c>
      <c r="J44" s="30" t="inlineStr">
        <is>
          <t>求める</t>
        </is>
      </c>
      <c r="K44" s="30" t="inlineStr">
        <is>
          <t>納得させる</t>
        </is>
      </c>
      <c r="L44" s="30" t="inlineStr">
        <is>
          <t>経済的な</t>
        </is>
      </c>
      <c r="M44" s="30" t="inlineStr">
        <is>
          <t>予算</t>
        </is>
      </c>
      <c r="N44" s="30" t="inlineStr">
        <is>
          <t>最大の</t>
        </is>
      </c>
      <c r="O44" s="31" t="inlineStr"/>
      <c r="P44" s="32">
        <f>IF(ISBLANK(O44), "", IF(TRIM(UPPER(O44))=TRIM(UPPER(Q44)), "○ 正解", "× 不正解"))</f>
        <v/>
      </c>
      <c r="Q44" s="32" t="inlineStr">
        <is>
          <t>B</t>
        </is>
      </c>
      <c r="R44" s="33" t="inlineStr">
        <is>
          <t>組み立てる</t>
        </is>
      </c>
      <c r="S44" s="34" t="inlineStr">
        <is>
          <t>These computers were assembled in Taiwan.</t>
        </is>
      </c>
      <c r="T44" s="34" t="inlineStr">
        <is>
          <t>これらのコンピュータは台湾で組み立てられた。</t>
        </is>
      </c>
    </row>
    <row r="45" ht="24" customHeight="1">
      <c r="A45" s="35" t="inlineStr">
        <is>
          <t>Q40</t>
        </is>
      </c>
      <c r="B45" s="4" t="n">
        <v>440</v>
      </c>
      <c r="C45" s="36" t="inlineStr">
        <is>
          <t>attention</t>
        </is>
      </c>
      <c r="D45" s="35" t="inlineStr">
        <is>
          <t>名詞</t>
        </is>
      </c>
      <c r="E45" s="37" t="inlineStr">
        <is>
          <t>特定の</t>
        </is>
      </c>
      <c r="F45" s="37" t="inlineStr">
        <is>
          <t>化学薬品</t>
        </is>
      </c>
      <c r="G45" s="37" t="inlineStr">
        <is>
          <t>得る</t>
        </is>
      </c>
      <c r="H45" s="37" t="inlineStr">
        <is>
          <t>適任である</t>
        </is>
      </c>
      <c r="I45" s="37" t="inlineStr">
        <is>
          <t>考える</t>
        </is>
      </c>
      <c r="J45" s="37" t="inlineStr">
        <is>
          <t>温暖な</t>
        </is>
      </c>
      <c r="K45" s="37" t="inlineStr">
        <is>
          <t>注意</t>
        </is>
      </c>
      <c r="L45" s="37" t="inlineStr">
        <is>
          <t>気が付いている</t>
        </is>
      </c>
      <c r="M45" s="37" t="inlineStr">
        <is>
          <t>評判</t>
        </is>
      </c>
      <c r="N45" s="37" t="inlineStr">
        <is>
          <t>軽い飲食料</t>
        </is>
      </c>
      <c r="O45" s="31" t="inlineStr"/>
      <c r="P45" s="38">
        <f>IF(ISBLANK(O45), "", IF(TRIM(UPPER(O45))=TRIM(UPPER(Q45)), "○ 正解", "× 不正解"))</f>
        <v/>
      </c>
      <c r="Q45" s="38" t="inlineStr">
        <is>
          <t>G</t>
        </is>
      </c>
      <c r="R45" s="39" t="inlineStr">
        <is>
          <t>注意</t>
        </is>
      </c>
      <c r="S45" s="40" t="inlineStr">
        <is>
          <t>I wasn't paying attention to him.</t>
        </is>
      </c>
      <c r="T45" s="40" t="inlineStr">
        <is>
          <t>私は彼に注意を払っていなかった。</t>
        </is>
      </c>
    </row>
    <row r="46" ht="24" customHeight="1">
      <c r="A46" s="28" t="inlineStr">
        <is>
          <t>Q41</t>
        </is>
      </c>
      <c r="B46" s="9" t="n">
        <v>441</v>
      </c>
      <c r="C46" s="29" t="inlineStr">
        <is>
          <t>invoice</t>
        </is>
      </c>
      <c r="D46" s="28" t="inlineStr">
        <is>
          <t>名詞</t>
        </is>
      </c>
      <c r="E46" s="30" t="inlineStr">
        <is>
          <t>車に乗せること</t>
        </is>
      </c>
      <c r="F46" s="30" t="inlineStr">
        <is>
          <t>引き起こす</t>
        </is>
      </c>
      <c r="G46" s="30" t="inlineStr">
        <is>
          <t>納得させる</t>
        </is>
      </c>
      <c r="H46" s="30" t="inlineStr">
        <is>
          <t>転勤する</t>
        </is>
      </c>
      <c r="I46" s="30" t="inlineStr">
        <is>
          <t>経済的な</t>
        </is>
      </c>
      <c r="J46" s="30" t="inlineStr">
        <is>
          <t>内線</t>
        </is>
      </c>
      <c r="K46" s="30" t="inlineStr">
        <is>
          <t>添付する</t>
        </is>
      </c>
      <c r="L46" s="30" t="inlineStr">
        <is>
          <t>教育</t>
        </is>
      </c>
      <c r="M46" s="30" t="inlineStr">
        <is>
          <t>交換する</t>
        </is>
      </c>
      <c r="N46" s="30" t="inlineStr">
        <is>
          <t>請求書</t>
        </is>
      </c>
      <c r="O46" s="31" t="inlineStr"/>
      <c r="P46" s="32">
        <f>IF(ISBLANK(O46), "", IF(TRIM(UPPER(O46))=TRIM(UPPER(Q46)), "○ 正解", "× 不正解"))</f>
        <v/>
      </c>
      <c r="Q46" s="32" t="inlineStr">
        <is>
          <t>J</t>
        </is>
      </c>
      <c r="R46" s="33" t="inlineStr">
        <is>
          <t>請求書</t>
        </is>
      </c>
      <c r="S46" s="34" t="inlineStr">
        <is>
          <t>We've received an invoice for sixty-five dollars.</t>
        </is>
      </c>
      <c r="T46" s="34" t="inlineStr">
        <is>
          <t>私たちは65ドルの請求書を受け取った。</t>
        </is>
      </c>
    </row>
    <row r="47" ht="24" customHeight="1">
      <c r="A47" s="35" t="inlineStr">
        <is>
          <t>Q42</t>
        </is>
      </c>
      <c r="B47" s="4" t="n">
        <v>442</v>
      </c>
      <c r="C47" s="36" t="inlineStr">
        <is>
          <t>prior to</t>
        </is>
      </c>
      <c r="D47" s="35" t="inlineStr">
        <is>
          <t>前置詞</t>
        </is>
      </c>
      <c r="E47" s="37" t="inlineStr">
        <is>
          <t>よくある</t>
        </is>
      </c>
      <c r="F47" s="37" t="inlineStr">
        <is>
          <t>起こりそうな</t>
        </is>
      </c>
      <c r="G47" s="37" t="inlineStr">
        <is>
          <t>辞任する(身を引く)</t>
        </is>
      </c>
      <c r="H47" s="37" t="inlineStr">
        <is>
          <t>実地説明をする</t>
        </is>
      </c>
      <c r="I47" s="37" t="inlineStr">
        <is>
          <t>注意</t>
        </is>
      </c>
      <c r="J47" s="37" t="inlineStr">
        <is>
          <t>〜の前に</t>
        </is>
      </c>
      <c r="K47" s="37" t="inlineStr">
        <is>
          <t>習慣的に繰り返されること</t>
        </is>
      </c>
      <c r="L47" s="37" t="inlineStr">
        <is>
          <t>含む</t>
        </is>
      </c>
      <c r="M47" s="37" t="inlineStr">
        <is>
          <t>得る</t>
        </is>
      </c>
      <c r="N47" s="37" t="inlineStr">
        <is>
          <t>すぐの</t>
        </is>
      </c>
      <c r="O47" s="31" t="inlineStr"/>
      <c r="P47" s="38">
        <f>IF(ISBLANK(O47), "", IF(TRIM(UPPER(O47))=TRIM(UPPER(Q47)), "○ 正解", "× 不正解"))</f>
        <v/>
      </c>
      <c r="Q47" s="38" t="inlineStr">
        <is>
          <t>F</t>
        </is>
      </c>
      <c r="R47" s="39" t="inlineStr">
        <is>
          <t>〜の前に</t>
        </is>
      </c>
      <c r="S47" s="40" t="inlineStr">
        <is>
          <t>Please arrive fifteen minutes prior to your appointment.</t>
        </is>
      </c>
      <c r="T47" s="40" t="inlineStr">
        <is>
          <t>予約時間の15分前に到着するようにしてください。</t>
        </is>
      </c>
    </row>
    <row r="48" ht="24" customHeight="1">
      <c r="A48" s="28" t="inlineStr">
        <is>
          <t>Q43</t>
        </is>
      </c>
      <c r="B48" s="9" t="n">
        <v>443</v>
      </c>
      <c r="C48" s="29" t="inlineStr">
        <is>
          <t>refreshment</t>
        </is>
      </c>
      <c r="D48" s="28" t="inlineStr">
        <is>
          <t>名詞</t>
        </is>
      </c>
      <c r="E48" s="30" t="inlineStr">
        <is>
          <t>収入</t>
        </is>
      </c>
      <c r="F48" s="30" t="inlineStr">
        <is>
          <t>要因</t>
        </is>
      </c>
      <c r="G48" s="30" t="inlineStr">
        <is>
          <t>くつろいだ</t>
        </is>
      </c>
      <c r="H48" s="30" t="inlineStr">
        <is>
          <t>教育</t>
        </is>
      </c>
      <c r="I48" s="30" t="inlineStr">
        <is>
          <t>小売り</t>
        </is>
      </c>
      <c r="J48" s="30" t="inlineStr">
        <is>
          <t>軽い飲食料</t>
        </is>
      </c>
      <c r="K48" s="30" t="inlineStr">
        <is>
          <t>手段</t>
        </is>
      </c>
      <c r="L48" s="30" t="inlineStr">
        <is>
          <t>大まかな</t>
        </is>
      </c>
      <c r="M48" s="30" t="inlineStr">
        <is>
          <t>よくある</t>
        </is>
      </c>
      <c r="N48" s="30" t="inlineStr">
        <is>
          <t>温暖な</t>
        </is>
      </c>
      <c r="O48" s="31" t="inlineStr"/>
      <c r="P48" s="32">
        <f>IF(ISBLANK(O48), "", IF(TRIM(UPPER(O48))=TRIM(UPPER(Q48)), "○ 正解", "× 不正解"))</f>
        <v/>
      </c>
      <c r="Q48" s="32" t="inlineStr">
        <is>
          <t>F</t>
        </is>
      </c>
      <c r="R48" s="33" t="inlineStr">
        <is>
          <t>軽い飲食料</t>
        </is>
      </c>
      <c r="S48" s="34" t="inlineStr">
        <is>
          <t>Refreshments will be served after the meeting.</t>
        </is>
      </c>
      <c r="T48" s="34" t="inlineStr">
        <is>
          <t>会議の後、軽い飲食料が出ます。</t>
        </is>
      </c>
    </row>
    <row r="49" ht="24" customHeight="1">
      <c r="A49" s="35" t="inlineStr">
        <is>
          <t>Q44</t>
        </is>
      </c>
      <c r="B49" s="4" t="n">
        <v>444</v>
      </c>
      <c r="C49" s="36" t="inlineStr">
        <is>
          <t>trust</t>
        </is>
      </c>
      <c r="D49" s="35" t="inlineStr">
        <is>
          <t>名詞</t>
        </is>
      </c>
      <c r="E49" s="37" t="inlineStr">
        <is>
          <t>身体の</t>
        </is>
      </c>
      <c r="F49" s="37" t="inlineStr">
        <is>
          <t>手段</t>
        </is>
      </c>
      <c r="G49" s="37" t="inlineStr">
        <is>
          <t>移転する</t>
        </is>
      </c>
      <c r="H49" s="37" t="inlineStr">
        <is>
          <t>それぞれ</t>
        </is>
      </c>
      <c r="I49" s="37" t="inlineStr">
        <is>
          <t>信用</t>
        </is>
      </c>
      <c r="J49" s="37" t="inlineStr">
        <is>
          <t>改良する</t>
        </is>
      </c>
      <c r="K49" s="37" t="inlineStr">
        <is>
          <t>状況</t>
        </is>
      </c>
      <c r="L49" s="37" t="inlineStr">
        <is>
          <t>車に乗せること</t>
        </is>
      </c>
      <c r="M49" s="37" t="inlineStr">
        <is>
          <t>態度</t>
        </is>
      </c>
      <c r="N49" s="37" t="inlineStr">
        <is>
          <t>評判</t>
        </is>
      </c>
      <c r="O49" s="31" t="inlineStr"/>
      <c r="P49" s="38">
        <f>IF(ISBLANK(O49), "", IF(TRIM(UPPER(O49))=TRIM(UPPER(Q49)), "○ 正解", "× 不正解"))</f>
        <v/>
      </c>
      <c r="Q49" s="38" t="inlineStr">
        <is>
          <t>E</t>
        </is>
      </c>
      <c r="R49" s="39" t="inlineStr">
        <is>
          <t>信用</t>
        </is>
      </c>
      <c r="S49" s="40" t="inlineStr">
        <is>
          <t>Honesty is the key to building trust.</t>
        </is>
      </c>
      <c r="T49" s="40" t="inlineStr">
        <is>
          <t>誠実さは信用を築く鍵である。</t>
        </is>
      </c>
    </row>
    <row r="50" ht="24" customHeight="1">
      <c r="A50" s="28" t="inlineStr">
        <is>
          <t>Q45</t>
        </is>
      </c>
      <c r="B50" s="9" t="n">
        <v>445</v>
      </c>
      <c r="C50" s="29" t="inlineStr">
        <is>
          <t>plumber</t>
        </is>
      </c>
      <c r="D50" s="28" t="inlineStr">
        <is>
          <t>名詞</t>
        </is>
      </c>
      <c r="E50" s="30" t="inlineStr">
        <is>
          <t>教育</t>
        </is>
      </c>
      <c r="F50" s="30" t="inlineStr">
        <is>
          <t>含む</t>
        </is>
      </c>
      <c r="G50" s="30" t="inlineStr">
        <is>
          <t>同行する</t>
        </is>
      </c>
      <c r="H50" s="30" t="inlineStr">
        <is>
          <t>請求書</t>
        </is>
      </c>
      <c r="I50" s="30" t="inlineStr">
        <is>
          <t>臨時の</t>
        </is>
      </c>
      <c r="J50" s="30" t="inlineStr">
        <is>
          <t>得る</t>
        </is>
      </c>
      <c r="K50" s="30" t="inlineStr">
        <is>
          <t>組み立てる</t>
        </is>
      </c>
      <c r="L50" s="30" t="inlineStr">
        <is>
          <t>身体の</t>
        </is>
      </c>
      <c r="M50" s="30" t="inlineStr">
        <is>
          <t>配管工</t>
        </is>
      </c>
      <c r="N50" s="30" t="inlineStr">
        <is>
          <t>求める</t>
        </is>
      </c>
      <c r="O50" s="31" t="inlineStr"/>
      <c r="P50" s="32">
        <f>IF(ISBLANK(O50), "", IF(TRIM(UPPER(O50))=TRIM(UPPER(Q50)), "○ 正解", "× 不正解"))</f>
        <v/>
      </c>
      <c r="Q50" s="32" t="inlineStr">
        <is>
          <t>I</t>
        </is>
      </c>
      <c r="R50" s="33" t="inlineStr">
        <is>
          <t>配管工</t>
        </is>
      </c>
      <c r="S50" s="34" t="inlineStr">
        <is>
          <t>I called the plumber to fix the sink.</t>
        </is>
      </c>
      <c r="T50" s="34" t="inlineStr">
        <is>
          <t>流しを修理するために配管工に電話した。</t>
        </is>
      </c>
    </row>
    <row r="51" ht="24" customHeight="1">
      <c r="A51" s="35" t="inlineStr">
        <is>
          <t>Q46</t>
        </is>
      </c>
      <c r="B51" s="4" t="n">
        <v>446</v>
      </c>
      <c r="C51" s="36" t="inlineStr">
        <is>
          <t>update</t>
        </is>
      </c>
      <c r="D51" s="35" t="inlineStr">
        <is>
          <t>動詞</t>
        </is>
      </c>
      <c r="E51" s="37" t="inlineStr">
        <is>
          <t>小売り</t>
        </is>
      </c>
      <c r="F51" s="37" t="inlineStr">
        <is>
          <t>更新する</t>
        </is>
      </c>
      <c r="G51" s="37" t="inlineStr">
        <is>
          <t>得る</t>
        </is>
      </c>
      <c r="H51" s="37" t="inlineStr">
        <is>
          <t>〜のままでいる</t>
        </is>
      </c>
      <c r="I51" s="37" t="inlineStr">
        <is>
          <t>態度(姿勢)</t>
        </is>
      </c>
      <c r="J51" s="37" t="inlineStr">
        <is>
          <t>明らかにする</t>
        </is>
      </c>
      <c r="K51" s="37" t="inlineStr">
        <is>
          <t>通勤する</t>
        </is>
      </c>
      <c r="L51" s="37" t="inlineStr">
        <is>
          <t>分ける</t>
        </is>
      </c>
      <c r="M51" s="37" t="inlineStr">
        <is>
          <t>転勤する</t>
        </is>
      </c>
      <c r="N51" s="37" t="inlineStr">
        <is>
          <t>評判</t>
        </is>
      </c>
      <c r="O51" s="31" t="inlineStr"/>
      <c r="P51" s="38">
        <f>IF(ISBLANK(O51), "", IF(TRIM(UPPER(O51))=TRIM(UPPER(Q51)), "○ 正解", "× 不正解"))</f>
        <v/>
      </c>
      <c r="Q51" s="38" t="inlineStr">
        <is>
          <t>B</t>
        </is>
      </c>
      <c r="R51" s="39" t="inlineStr">
        <is>
          <t>更新する</t>
        </is>
      </c>
      <c r="S51" s="40" t="inlineStr">
        <is>
          <t>We update our Web site daily.</t>
        </is>
      </c>
      <c r="T51" s="40" t="inlineStr">
        <is>
          <t>私たちは毎日ウェブサイトを更新する。</t>
        </is>
      </c>
    </row>
    <row r="52" ht="24" customHeight="1">
      <c r="A52" s="28" t="inlineStr">
        <is>
          <t>Q47</t>
        </is>
      </c>
      <c r="B52" s="9" t="n">
        <v>447</v>
      </c>
      <c r="C52" s="29" t="inlineStr">
        <is>
          <t>upstairs</t>
        </is>
      </c>
      <c r="D52" s="28" t="inlineStr">
        <is>
          <t>副詞</t>
        </is>
      </c>
      <c r="E52" s="30" t="inlineStr">
        <is>
          <t>求める</t>
        </is>
      </c>
      <c r="F52" s="30" t="inlineStr">
        <is>
          <t>状況</t>
        </is>
      </c>
      <c r="G52" s="30" t="inlineStr">
        <is>
          <t>交換する</t>
        </is>
      </c>
      <c r="H52" s="30" t="inlineStr">
        <is>
          <t>主催する</t>
        </is>
      </c>
      <c r="I52" s="30" t="inlineStr">
        <is>
          <t>〜のままでいる</t>
        </is>
      </c>
      <c r="J52" s="30" t="inlineStr">
        <is>
          <t>専門家</t>
        </is>
      </c>
      <c r="K52" s="30" t="inlineStr">
        <is>
          <t>手法</t>
        </is>
      </c>
      <c r="L52" s="30" t="inlineStr">
        <is>
          <t>身体の</t>
        </is>
      </c>
      <c r="M52" s="30" t="inlineStr">
        <is>
          <t>上の階に</t>
        </is>
      </c>
      <c r="N52" s="30" t="inlineStr">
        <is>
          <t>経済的な</t>
        </is>
      </c>
      <c r="O52" s="31" t="inlineStr"/>
      <c r="P52" s="32">
        <f>IF(ISBLANK(O52), "", IF(TRIM(UPPER(O52))=TRIM(UPPER(Q52)), "○ 正解", "× 不正解"))</f>
        <v/>
      </c>
      <c r="Q52" s="32" t="inlineStr">
        <is>
          <t>I</t>
        </is>
      </c>
      <c r="R52" s="33" t="inlineStr">
        <is>
          <t>上の階に</t>
        </is>
      </c>
      <c r="S52" s="34" t="inlineStr">
        <is>
          <t>We have a meeting room upstairs.</t>
        </is>
      </c>
      <c r="T52" s="34" t="inlineStr">
        <is>
          <t>上の階に会議用の部屋があります。</t>
        </is>
      </c>
    </row>
    <row r="53" ht="24" customHeight="1">
      <c r="A53" s="35" t="inlineStr">
        <is>
          <t>Q48</t>
        </is>
      </c>
      <c r="B53" s="4" t="n">
        <v>448</v>
      </c>
      <c r="C53" s="36" t="inlineStr">
        <is>
          <t>manner</t>
        </is>
      </c>
      <c r="D53" s="35" t="inlineStr">
        <is>
          <t>名詞</t>
        </is>
      </c>
      <c r="E53" s="37" t="inlineStr">
        <is>
          <t>思い出させる</t>
        </is>
      </c>
      <c r="F53" s="37" t="inlineStr">
        <is>
          <t>必要な</t>
        </is>
      </c>
      <c r="G53" s="37" t="inlineStr">
        <is>
          <t>考える</t>
        </is>
      </c>
      <c r="H53" s="37" t="inlineStr">
        <is>
          <t>態度</t>
        </is>
      </c>
      <c r="I53" s="37" t="inlineStr">
        <is>
          <t>重役</t>
        </is>
      </c>
      <c r="J53" s="37" t="inlineStr">
        <is>
          <t>〜に関する</t>
        </is>
      </c>
      <c r="K53" s="37" t="inlineStr">
        <is>
          <t>明らかにする</t>
        </is>
      </c>
      <c r="L53" s="37" t="inlineStr">
        <is>
          <t>〜と比べて</t>
        </is>
      </c>
      <c r="M53" s="37" t="inlineStr">
        <is>
          <t>交換する</t>
        </is>
      </c>
      <c r="N53" s="37" t="inlineStr">
        <is>
          <t>明確な・特定の</t>
        </is>
      </c>
      <c r="O53" s="31" t="inlineStr"/>
      <c r="P53" s="38">
        <f>IF(ISBLANK(O53), "", IF(TRIM(UPPER(O53))=TRIM(UPPER(Q53)), "○ 正解", "× 不正解"))</f>
        <v/>
      </c>
      <c r="Q53" s="38" t="inlineStr">
        <is>
          <t>D</t>
        </is>
      </c>
      <c r="R53" s="39" t="inlineStr">
        <is>
          <t>態度</t>
        </is>
      </c>
      <c r="S53" s="40" t="inlineStr">
        <is>
          <t>Matt acted in a professional manner.</t>
        </is>
      </c>
      <c r="T53" s="40" t="inlineStr">
        <is>
          <t>マットはプロらしい態度で行動した。</t>
        </is>
      </c>
    </row>
    <row r="54" ht="24" customHeight="1">
      <c r="A54" s="28" t="inlineStr">
        <is>
          <t>Q49</t>
        </is>
      </c>
      <c r="B54" s="9" t="n">
        <v>449</v>
      </c>
      <c r="C54" s="29" t="inlineStr">
        <is>
          <t>consider</t>
        </is>
      </c>
      <c r="D54" s="28" t="inlineStr">
        <is>
          <t>動詞</t>
        </is>
      </c>
      <c r="E54" s="30" t="inlineStr">
        <is>
          <t>手法</t>
        </is>
      </c>
      <c r="F54" s="30" t="inlineStr">
        <is>
          <t>信用</t>
        </is>
      </c>
      <c r="G54" s="30" t="inlineStr">
        <is>
          <t>寄付する</t>
        </is>
      </c>
      <c r="H54" s="30" t="inlineStr">
        <is>
          <t>処理する</t>
        </is>
      </c>
      <c r="I54" s="30" t="inlineStr">
        <is>
          <t>くつろいだ</t>
        </is>
      </c>
      <c r="J54" s="30" t="inlineStr">
        <is>
          <t>手段</t>
        </is>
      </c>
      <c r="K54" s="30" t="inlineStr">
        <is>
          <t>考える</t>
        </is>
      </c>
      <c r="L54" s="30" t="inlineStr">
        <is>
          <t>拒否する</t>
        </is>
      </c>
      <c r="M54" s="30" t="inlineStr">
        <is>
          <t>複雑な</t>
        </is>
      </c>
      <c r="N54" s="30" t="inlineStr">
        <is>
          <t>大まかな</t>
        </is>
      </c>
      <c r="O54" s="31" t="inlineStr"/>
      <c r="P54" s="32">
        <f>IF(ISBLANK(O54), "", IF(TRIM(UPPER(O54))=TRIM(UPPER(Q54)), "○ 正解", "× 不正解"))</f>
        <v/>
      </c>
      <c r="Q54" s="32" t="inlineStr">
        <is>
          <t>G</t>
        </is>
      </c>
      <c r="R54" s="33" t="inlineStr">
        <is>
          <t>考える</t>
        </is>
      </c>
      <c r="S54" s="34" t="inlineStr">
        <is>
          <t>I'm considering taking the course.</t>
        </is>
      </c>
      <c r="T54" s="34" t="inlineStr">
        <is>
          <t>私はそのコースを取ろうかどうか考えている。</t>
        </is>
      </c>
    </row>
    <row r="55" ht="24" customHeight="1">
      <c r="A55" s="35" t="inlineStr">
        <is>
          <t>Q50</t>
        </is>
      </c>
      <c r="B55" s="4" t="n">
        <v>450</v>
      </c>
      <c r="C55" s="36" t="inlineStr">
        <is>
          <t>executive</t>
        </is>
      </c>
      <c r="D55" s="35" t="inlineStr">
        <is>
          <t>名詞</t>
        </is>
      </c>
      <c r="E55" s="37" t="inlineStr">
        <is>
          <t>教育</t>
        </is>
      </c>
      <c r="F55" s="37" t="inlineStr">
        <is>
          <t>辞任する(身を引く)</t>
        </is>
      </c>
      <c r="G55" s="37" t="inlineStr">
        <is>
          <t>礼儀正しい</t>
        </is>
      </c>
      <c r="H55" s="37" t="inlineStr">
        <is>
          <t>気が付いている</t>
        </is>
      </c>
      <c r="I55" s="37" t="inlineStr">
        <is>
          <t>それぞれ</t>
        </is>
      </c>
      <c r="J55" s="37" t="inlineStr">
        <is>
          <t>分ける</t>
        </is>
      </c>
      <c r="K55" s="37" t="inlineStr">
        <is>
          <t>定期購読する</t>
        </is>
      </c>
      <c r="L55" s="37" t="inlineStr">
        <is>
          <t>重役</t>
        </is>
      </c>
      <c r="M55" s="37" t="inlineStr">
        <is>
          <t>最大の</t>
        </is>
      </c>
      <c r="N55" s="37" t="inlineStr">
        <is>
          <t>明確な・特定の</t>
        </is>
      </c>
      <c r="O55" s="31" t="inlineStr"/>
      <c r="P55" s="38">
        <f>IF(ISBLANK(O55), "", IF(TRIM(UPPER(O55))=TRIM(UPPER(Q55)), "○ 正解", "× 不正解"))</f>
        <v/>
      </c>
      <c r="Q55" s="38" t="inlineStr">
        <is>
          <t>H</t>
        </is>
      </c>
      <c r="R55" s="39" t="inlineStr">
        <is>
          <t>重役</t>
        </is>
      </c>
      <c r="S55" s="40" t="inlineStr">
        <is>
          <t>Ms. James is an executive of a computer company.</t>
        </is>
      </c>
      <c r="T55" s="40" t="inlineStr">
        <is>
          <t>ジェームズさんはコンピュータ会社の重役です。</t>
        </is>
      </c>
    </row>
    <row r="56" ht="24" customHeight="1">
      <c r="A56" s="28" t="inlineStr">
        <is>
          <t>Q51</t>
        </is>
      </c>
      <c r="B56" s="9" t="n">
        <v>451</v>
      </c>
      <c r="C56" s="29" t="inlineStr">
        <is>
          <t>means</t>
        </is>
      </c>
      <c r="D56" s="28" t="inlineStr">
        <is>
          <t>名詞</t>
        </is>
      </c>
      <c r="E56" s="30" t="inlineStr">
        <is>
          <t>会話</t>
        </is>
      </c>
      <c r="F56" s="30" t="inlineStr">
        <is>
          <t>通勤する</t>
        </is>
      </c>
      <c r="G56" s="30" t="inlineStr">
        <is>
          <t>習慣的に繰り返されること</t>
        </is>
      </c>
      <c r="H56" s="30" t="inlineStr">
        <is>
          <t>最大の</t>
        </is>
      </c>
      <c r="I56" s="30" t="inlineStr">
        <is>
          <t>思い出させる</t>
        </is>
      </c>
      <c r="J56" s="30" t="inlineStr">
        <is>
          <t>実地説明をする</t>
        </is>
      </c>
      <c r="K56" s="30" t="inlineStr">
        <is>
          <t>専門家</t>
        </is>
      </c>
      <c r="L56" s="30" t="inlineStr">
        <is>
          <t>すぐの</t>
        </is>
      </c>
      <c r="M56" s="30" t="inlineStr">
        <is>
          <t>気が付いている</t>
        </is>
      </c>
      <c r="N56" s="30" t="inlineStr">
        <is>
          <t>手段</t>
        </is>
      </c>
      <c r="O56" s="31" t="inlineStr"/>
      <c r="P56" s="32">
        <f>IF(ISBLANK(O56), "", IF(TRIM(UPPER(O56))=TRIM(UPPER(Q56)), "○ 正解", "× 不正解"))</f>
        <v/>
      </c>
      <c r="Q56" s="32" t="inlineStr">
        <is>
          <t>J</t>
        </is>
      </c>
      <c r="R56" s="33" t="inlineStr">
        <is>
          <t>手段</t>
        </is>
      </c>
      <c r="S56" s="34" t="inlineStr">
        <is>
          <t>Do you have any means of identification?</t>
        </is>
      </c>
      <c r="T56" s="34" t="inlineStr">
        <is>
          <t>身元を証明する手段を何かお持ちですか。</t>
        </is>
      </c>
    </row>
    <row r="57" ht="24" customHeight="1">
      <c r="A57" s="35" t="inlineStr">
        <is>
          <t>Q52</t>
        </is>
      </c>
      <c r="B57" s="4" t="n">
        <v>452</v>
      </c>
      <c r="C57" s="36" t="inlineStr">
        <is>
          <t>regarding</t>
        </is>
      </c>
      <c r="D57" s="35" t="inlineStr">
        <is>
          <t>前置詞</t>
        </is>
      </c>
      <c r="E57" s="37" t="inlineStr">
        <is>
          <t>習慣的に繰り返されること</t>
        </is>
      </c>
      <c r="F57" s="37" t="inlineStr">
        <is>
          <t>注意</t>
        </is>
      </c>
      <c r="G57" s="37" t="inlineStr">
        <is>
          <t>よく知っている</t>
        </is>
      </c>
      <c r="H57" s="37" t="inlineStr">
        <is>
          <t>早急な</t>
        </is>
      </c>
      <c r="I57" s="37" t="inlineStr">
        <is>
          <t>不動産</t>
        </is>
      </c>
      <c r="J57" s="37" t="inlineStr">
        <is>
          <t>収入</t>
        </is>
      </c>
      <c r="K57" s="37" t="inlineStr">
        <is>
          <t>主催する</t>
        </is>
      </c>
      <c r="L57" s="37" t="inlineStr">
        <is>
          <t>引き起こす</t>
        </is>
      </c>
      <c r="M57" s="37" t="inlineStr">
        <is>
          <t>〜に関する</t>
        </is>
      </c>
      <c r="N57" s="37" t="inlineStr">
        <is>
          <t>拒否する</t>
        </is>
      </c>
      <c r="O57" s="31" t="inlineStr"/>
      <c r="P57" s="38">
        <f>IF(ISBLANK(O57), "", IF(TRIM(UPPER(O57))=TRIM(UPPER(Q57)), "○ 正解", "× 不正解"))</f>
        <v/>
      </c>
      <c r="Q57" s="38" t="inlineStr">
        <is>
          <t>I</t>
        </is>
      </c>
      <c r="R57" s="39" t="inlineStr">
        <is>
          <t>〜に関する</t>
        </is>
      </c>
      <c r="S57" s="40" t="inlineStr">
        <is>
          <t>We have received your letter regarding the defective products.</t>
        </is>
      </c>
      <c r="T57" s="40" t="inlineStr">
        <is>
          <t>当社は欠陥商品に関するあなたからの手紙を受け取りました。</t>
        </is>
      </c>
    </row>
    <row r="58" ht="24" customHeight="1">
      <c r="A58" s="28" t="inlineStr">
        <is>
          <t>Q53</t>
        </is>
      </c>
      <c r="B58" s="9" t="n">
        <v>453</v>
      </c>
      <c r="C58" s="29" t="inlineStr">
        <is>
          <t>association</t>
        </is>
      </c>
      <c r="D58" s="28" t="inlineStr">
        <is>
          <t>名詞</t>
        </is>
      </c>
      <c r="E58" s="30" t="inlineStr">
        <is>
          <t>特定の</t>
        </is>
      </c>
      <c r="F58" s="30" t="inlineStr">
        <is>
          <t>添付する</t>
        </is>
      </c>
      <c r="G58" s="30" t="inlineStr">
        <is>
          <t>〜と比べて</t>
        </is>
      </c>
      <c r="H58" s="30" t="inlineStr">
        <is>
          <t>改良する</t>
        </is>
      </c>
      <c r="I58" s="30" t="inlineStr">
        <is>
          <t>提携</t>
        </is>
      </c>
      <c r="J58" s="30" t="inlineStr">
        <is>
          <t>罰金</t>
        </is>
      </c>
      <c r="K58" s="30" t="inlineStr">
        <is>
          <t>通勤する</t>
        </is>
      </c>
      <c r="L58" s="30" t="inlineStr">
        <is>
          <t>信用</t>
        </is>
      </c>
      <c r="M58" s="30" t="inlineStr">
        <is>
          <t>期限が切れる</t>
        </is>
      </c>
      <c r="N58" s="30" t="inlineStr">
        <is>
          <t>納得させる</t>
        </is>
      </c>
      <c r="O58" s="31" t="inlineStr"/>
      <c r="P58" s="32">
        <f>IF(ISBLANK(O58), "", IF(TRIM(UPPER(O58))=TRIM(UPPER(Q58)), "○ 正解", "× 不正解"))</f>
        <v/>
      </c>
      <c r="Q58" s="32" t="inlineStr">
        <is>
          <t>E</t>
        </is>
      </c>
      <c r="R58" s="33" t="inlineStr">
        <is>
          <t>提携</t>
        </is>
      </c>
      <c r="S58" s="34" t="inlineStr">
        <is>
          <t>The book was published in association with the National Museum.</t>
        </is>
      </c>
      <c r="T58" s="34" t="inlineStr">
        <is>
          <t>この本は国立博物館の協力によって出版された。</t>
        </is>
      </c>
    </row>
    <row r="59" ht="24" customHeight="1">
      <c r="A59" s="35" t="inlineStr">
        <is>
          <t>Q54</t>
        </is>
      </c>
      <c r="B59" s="4" t="n">
        <v>454</v>
      </c>
      <c r="C59" s="36" t="inlineStr">
        <is>
          <t>budget</t>
        </is>
      </c>
      <c r="D59" s="35" t="inlineStr">
        <is>
          <t>名詞</t>
        </is>
      </c>
      <c r="E59" s="37" t="inlineStr">
        <is>
          <t>改良する</t>
        </is>
      </c>
      <c r="F59" s="37" t="inlineStr">
        <is>
          <t>信用</t>
        </is>
      </c>
      <c r="G59" s="37" t="inlineStr">
        <is>
          <t>期限が切れる</t>
        </is>
      </c>
      <c r="H59" s="37" t="inlineStr">
        <is>
          <t>求める</t>
        </is>
      </c>
      <c r="I59" s="37" t="inlineStr">
        <is>
          <t>予算</t>
        </is>
      </c>
      <c r="J59" s="37" t="inlineStr">
        <is>
          <t>研究所</t>
        </is>
      </c>
      <c r="K59" s="37" t="inlineStr">
        <is>
          <t>必要な</t>
        </is>
      </c>
      <c r="L59" s="37" t="inlineStr">
        <is>
          <t>〜に関する</t>
        </is>
      </c>
      <c r="M59" s="37" t="inlineStr">
        <is>
          <t>転勤する</t>
        </is>
      </c>
      <c r="N59" s="37" t="inlineStr">
        <is>
          <t>請求書</t>
        </is>
      </c>
      <c r="O59" s="31" t="inlineStr"/>
      <c r="P59" s="38">
        <f>IF(ISBLANK(O59), "", IF(TRIM(UPPER(O59))=TRIM(UPPER(Q59)), "○ 正解", "× 不正解"))</f>
        <v/>
      </c>
      <c r="Q59" s="38" t="inlineStr">
        <is>
          <t>E</t>
        </is>
      </c>
      <c r="R59" s="39" t="inlineStr">
        <is>
          <t>予算</t>
        </is>
      </c>
      <c r="S59" s="40" t="inlineStr">
        <is>
          <t>They're reviewing the budget for next year.</t>
        </is>
      </c>
      <c r="T59" s="40" t="inlineStr">
        <is>
          <t>彼らは来年度の予算案を検討している。</t>
        </is>
      </c>
    </row>
    <row r="60" ht="24" customHeight="1">
      <c r="A60" s="28" t="inlineStr">
        <is>
          <t>Q55</t>
        </is>
      </c>
      <c r="B60" s="9" t="n">
        <v>455</v>
      </c>
      <c r="C60" s="29" t="inlineStr">
        <is>
          <t>contain</t>
        </is>
      </c>
      <c r="D60" s="28" t="inlineStr">
        <is>
          <t>動詞</t>
        </is>
      </c>
      <c r="E60" s="30" t="inlineStr">
        <is>
          <t>辞任する</t>
        </is>
      </c>
      <c r="F60" s="30" t="inlineStr">
        <is>
          <t>手段</t>
        </is>
      </c>
      <c r="G60" s="30" t="inlineStr">
        <is>
          <t>明らかにする</t>
        </is>
      </c>
      <c r="H60" s="30" t="inlineStr">
        <is>
          <t>収入</t>
        </is>
      </c>
      <c r="I60" s="30" t="inlineStr">
        <is>
          <t>在庫</t>
        </is>
      </c>
      <c r="J60" s="30" t="inlineStr">
        <is>
          <t>定期購読する</t>
        </is>
      </c>
      <c r="K60" s="30" t="inlineStr">
        <is>
          <t>すぐの</t>
        </is>
      </c>
      <c r="L60" s="30" t="inlineStr">
        <is>
          <t>含む</t>
        </is>
      </c>
      <c r="M60" s="30" t="inlineStr">
        <is>
          <t>提携</t>
        </is>
      </c>
      <c r="N60" s="30" t="inlineStr">
        <is>
          <t>焦点を合わせる</t>
        </is>
      </c>
      <c r="O60" s="31" t="inlineStr"/>
      <c r="P60" s="32">
        <f>IF(ISBLANK(O60), "", IF(TRIM(UPPER(O60))=TRIM(UPPER(Q60)), "○ 正解", "× 不正解"))</f>
        <v/>
      </c>
      <c r="Q60" s="32" t="inlineStr">
        <is>
          <t>H</t>
        </is>
      </c>
      <c r="R60" s="33" t="inlineStr">
        <is>
          <t>含む</t>
        </is>
      </c>
      <c r="S60" s="34" t="inlineStr">
        <is>
          <t>This report contains information about the company's financial condition.</t>
        </is>
      </c>
      <c r="T60" s="34" t="inlineStr">
        <is>
          <t>この報告書には会社の財政状況に関する情報が含まれています。</t>
        </is>
      </c>
    </row>
    <row r="61" ht="24" customHeight="1">
      <c r="A61" s="35" t="inlineStr">
        <is>
          <t>Q56</t>
        </is>
      </c>
      <c r="B61" s="4" t="n">
        <v>456</v>
      </c>
      <c r="C61" s="36" t="inlineStr">
        <is>
          <t>remain</t>
        </is>
      </c>
      <c r="D61" s="35" t="inlineStr">
        <is>
          <t>動詞</t>
        </is>
      </c>
      <c r="E61" s="37" t="inlineStr">
        <is>
          <t>身体の</t>
        </is>
      </c>
      <c r="F61" s="37" t="inlineStr">
        <is>
          <t>〜のままでいる</t>
        </is>
      </c>
      <c r="G61" s="37" t="inlineStr">
        <is>
          <t>在庫</t>
        </is>
      </c>
      <c r="H61" s="37" t="inlineStr">
        <is>
          <t>温暖な</t>
        </is>
      </c>
      <c r="I61" s="37" t="inlineStr">
        <is>
          <t>内線</t>
        </is>
      </c>
      <c r="J61" s="37" t="inlineStr">
        <is>
          <t>意見</t>
        </is>
      </c>
      <c r="K61" s="37" t="inlineStr">
        <is>
          <t>くつろいだ</t>
        </is>
      </c>
      <c r="L61" s="37" t="inlineStr">
        <is>
          <t>不動産</t>
        </is>
      </c>
      <c r="M61" s="37" t="inlineStr">
        <is>
          <t>習慣的に繰り返されること</t>
        </is>
      </c>
      <c r="N61" s="37" t="inlineStr">
        <is>
          <t>請求書</t>
        </is>
      </c>
      <c r="O61" s="31" t="inlineStr"/>
      <c r="P61" s="38">
        <f>IF(ISBLANK(O61), "", IF(TRIM(UPPER(O61))=TRIM(UPPER(Q61)), "○ 正解", "× 不正解"))</f>
        <v/>
      </c>
      <c r="Q61" s="38" t="inlineStr">
        <is>
          <t>B</t>
        </is>
      </c>
      <c r="R61" s="39" t="inlineStr">
        <is>
          <t>〜のままでいる</t>
        </is>
      </c>
      <c r="S61" s="40" t="inlineStr">
        <is>
          <t>Please remain seated during take-off.</t>
        </is>
      </c>
      <c r="T61" s="40" t="inlineStr">
        <is>
          <t>離陸の際、座ったままでいてください。</t>
        </is>
      </c>
    </row>
    <row r="62" ht="24" customHeight="1">
      <c r="A62" s="28" t="inlineStr">
        <is>
          <t>Q57</t>
        </is>
      </c>
      <c r="B62" s="9" t="n">
        <v>457</v>
      </c>
      <c r="C62" s="29" t="inlineStr">
        <is>
          <t>chemical</t>
        </is>
      </c>
      <c r="D62" s="28" t="inlineStr">
        <is>
          <t>名詞</t>
        </is>
      </c>
      <c r="E62" s="30" t="inlineStr">
        <is>
          <t>化学薬品</t>
        </is>
      </c>
      <c r="F62" s="30" t="inlineStr">
        <is>
          <t>礼儀正しい</t>
        </is>
      </c>
      <c r="G62" s="30" t="inlineStr">
        <is>
          <t>修正する</t>
        </is>
      </c>
      <c r="H62" s="30" t="inlineStr">
        <is>
          <t>アンケート</t>
        </is>
      </c>
      <c r="I62" s="30" t="inlineStr">
        <is>
          <t>交換する</t>
        </is>
      </c>
      <c r="J62" s="30" t="inlineStr">
        <is>
          <t>転勤する</t>
        </is>
      </c>
      <c r="K62" s="30" t="inlineStr">
        <is>
          <t>〜に関する</t>
        </is>
      </c>
      <c r="L62" s="30" t="inlineStr">
        <is>
          <t>期限が切れる</t>
        </is>
      </c>
      <c r="M62" s="30" t="inlineStr">
        <is>
          <t>必要な</t>
        </is>
      </c>
      <c r="N62" s="30" t="inlineStr">
        <is>
          <t>辞任する</t>
        </is>
      </c>
      <c r="O62" s="31" t="inlineStr"/>
      <c r="P62" s="32">
        <f>IF(ISBLANK(O62), "", IF(TRIM(UPPER(O62))=TRIM(UPPER(Q62)), "○ 正解", "× 不正解"))</f>
        <v/>
      </c>
      <c r="Q62" s="32" t="inlineStr">
        <is>
          <t>A</t>
        </is>
      </c>
      <c r="R62" s="33" t="inlineStr">
        <is>
          <t>化学薬品</t>
        </is>
      </c>
      <c r="S62" s="34" t="inlineStr">
        <is>
          <t>We use dangerous chemicals in our plant.</t>
        </is>
      </c>
      <c r="T62" s="34" t="inlineStr">
        <is>
          <t>当社の工場では危険な化学薬品を使っている。</t>
        </is>
      </c>
    </row>
    <row r="63" ht="24" customHeight="1">
      <c r="A63" s="35" t="inlineStr">
        <is>
          <t>Q58</t>
        </is>
      </c>
      <c r="B63" s="4" t="n">
        <v>458</v>
      </c>
      <c r="C63" s="36" t="inlineStr">
        <is>
          <t>demonstrate</t>
        </is>
      </c>
      <c r="D63" s="35" t="inlineStr">
        <is>
          <t>動詞</t>
        </is>
      </c>
      <c r="E63" s="37" t="inlineStr">
        <is>
          <t>身体の</t>
        </is>
      </c>
      <c r="F63" s="37" t="inlineStr">
        <is>
          <t>よく知っている</t>
        </is>
      </c>
      <c r="G63" s="37" t="inlineStr">
        <is>
          <t>不動産</t>
        </is>
      </c>
      <c r="H63" s="37" t="inlineStr">
        <is>
          <t>実地説明をする</t>
        </is>
      </c>
      <c r="I63" s="37" t="inlineStr">
        <is>
          <t>専門家</t>
        </is>
      </c>
      <c r="J63" s="37" t="inlineStr">
        <is>
          <t>辞任する</t>
        </is>
      </c>
      <c r="K63" s="37" t="inlineStr">
        <is>
          <t>状況</t>
        </is>
      </c>
      <c r="L63" s="37" t="inlineStr">
        <is>
          <t>辞任する(身を引く)</t>
        </is>
      </c>
      <c r="M63" s="37" t="inlineStr">
        <is>
          <t>教育</t>
        </is>
      </c>
      <c r="N63" s="37" t="inlineStr">
        <is>
          <t>大まかな</t>
        </is>
      </c>
      <c r="O63" s="31" t="inlineStr"/>
      <c r="P63" s="38">
        <f>IF(ISBLANK(O63), "", IF(TRIM(UPPER(O63))=TRIM(UPPER(Q63)), "○ 正解", "× 不正解"))</f>
        <v/>
      </c>
      <c r="Q63" s="38" t="inlineStr">
        <is>
          <t>D</t>
        </is>
      </c>
      <c r="R63" s="39" t="inlineStr">
        <is>
          <t>実地説明をする</t>
        </is>
      </c>
      <c r="S63" s="40" t="inlineStr">
        <is>
          <t>I'll be demonstrating some of our new products.</t>
        </is>
      </c>
      <c r="T63" s="40" t="inlineStr">
        <is>
          <t>当社の新製品のいくつかを取り出して実地説明いたします。</t>
        </is>
      </c>
    </row>
    <row r="64" ht="24" customHeight="1">
      <c r="A64" s="28" t="inlineStr">
        <is>
          <t>Q59</t>
        </is>
      </c>
      <c r="B64" s="9" t="n">
        <v>459</v>
      </c>
      <c r="C64" s="29" t="inlineStr">
        <is>
          <t>qualified</t>
        </is>
      </c>
      <c r="D64" s="28" t="inlineStr">
        <is>
          <t>形容詞</t>
        </is>
      </c>
      <c r="E64" s="30" t="inlineStr">
        <is>
          <t>分ける</t>
        </is>
      </c>
      <c r="F64" s="30" t="inlineStr">
        <is>
          <t>引き起こす</t>
        </is>
      </c>
      <c r="G64" s="30" t="inlineStr">
        <is>
          <t>適任である</t>
        </is>
      </c>
      <c r="H64" s="30" t="inlineStr">
        <is>
          <t>意見</t>
        </is>
      </c>
      <c r="I64" s="30" t="inlineStr">
        <is>
          <t>出迎える</t>
        </is>
      </c>
      <c r="J64" s="30" t="inlineStr">
        <is>
          <t>辞任する(身を引く)</t>
        </is>
      </c>
      <c r="K64" s="30" t="inlineStr">
        <is>
          <t>身体の</t>
        </is>
      </c>
      <c r="L64" s="30" t="inlineStr">
        <is>
          <t>更新する</t>
        </is>
      </c>
      <c r="M64" s="30" t="inlineStr">
        <is>
          <t>態度</t>
        </is>
      </c>
      <c r="N64" s="30" t="inlineStr">
        <is>
          <t>会場</t>
        </is>
      </c>
      <c r="O64" s="31" t="inlineStr"/>
      <c r="P64" s="32">
        <f>IF(ISBLANK(O64), "", IF(TRIM(UPPER(O64))=TRIM(UPPER(Q64)), "○ 正解", "× 不正解"))</f>
        <v/>
      </c>
      <c r="Q64" s="32" t="inlineStr">
        <is>
          <t>C</t>
        </is>
      </c>
      <c r="R64" s="33" t="inlineStr">
        <is>
          <t>適任である</t>
        </is>
      </c>
      <c r="S64" s="34" t="inlineStr">
        <is>
          <t>Tom is qualified for the position.</t>
        </is>
      </c>
      <c r="T64" s="34" t="inlineStr">
        <is>
          <t>トムはその職に適任である。</t>
        </is>
      </c>
    </row>
    <row r="65" ht="24" customHeight="1">
      <c r="A65" s="35" t="inlineStr">
        <is>
          <t>Q60</t>
        </is>
      </c>
      <c r="B65" s="4" t="n">
        <v>460</v>
      </c>
      <c r="C65" s="36" t="inlineStr">
        <is>
          <t>revise</t>
        </is>
      </c>
      <c r="D65" s="35" t="inlineStr">
        <is>
          <t>動詞</t>
        </is>
      </c>
      <c r="E65" s="37" t="inlineStr">
        <is>
          <t>10年</t>
        </is>
      </c>
      <c r="F65" s="37" t="inlineStr">
        <is>
          <t>修正する</t>
        </is>
      </c>
      <c r="G65" s="37" t="inlineStr">
        <is>
          <t>経済的な</t>
        </is>
      </c>
      <c r="H65" s="37" t="inlineStr">
        <is>
          <t>アンケート</t>
        </is>
      </c>
      <c r="I65" s="37" t="inlineStr">
        <is>
          <t>分ける</t>
        </is>
      </c>
      <c r="J65" s="37" t="inlineStr">
        <is>
          <t>意見</t>
        </is>
      </c>
      <c r="K65" s="37" t="inlineStr">
        <is>
          <t>要因</t>
        </is>
      </c>
      <c r="L65" s="37" t="inlineStr">
        <is>
          <t>態度(姿勢)</t>
        </is>
      </c>
      <c r="M65" s="37" t="inlineStr">
        <is>
          <t>くつろいだ</t>
        </is>
      </c>
      <c r="N65" s="37" t="inlineStr">
        <is>
          <t>手段</t>
        </is>
      </c>
      <c r="O65" s="31" t="inlineStr"/>
      <c r="P65" s="38">
        <f>IF(ISBLANK(O65), "", IF(TRIM(UPPER(O65))=TRIM(UPPER(Q65)), "○ 正解", "× 不正解"))</f>
        <v/>
      </c>
      <c r="Q65" s="38" t="inlineStr">
        <is>
          <t>B</t>
        </is>
      </c>
      <c r="R65" s="39" t="inlineStr">
        <is>
          <t>修正する</t>
        </is>
      </c>
      <c r="S65" s="40" t="inlineStr">
        <is>
          <t>We have to revise the budget.</t>
        </is>
      </c>
      <c r="T65" s="40" t="inlineStr">
        <is>
          <t>私たちは予算を修正する必要がある。</t>
        </is>
      </c>
    </row>
    <row r="66" ht="24" customHeight="1">
      <c r="A66" s="28" t="inlineStr">
        <is>
          <t>Q61</t>
        </is>
      </c>
      <c r="B66" s="9" t="n">
        <v>461</v>
      </c>
      <c r="C66" s="29" t="inlineStr">
        <is>
          <t>relaxed</t>
        </is>
      </c>
      <c r="D66" s="28" t="inlineStr">
        <is>
          <t>形容詞</t>
        </is>
      </c>
      <c r="E66" s="30" t="inlineStr">
        <is>
          <t>設立する</t>
        </is>
      </c>
      <c r="F66" s="30" t="inlineStr">
        <is>
          <t>内線</t>
        </is>
      </c>
      <c r="G66" s="30" t="inlineStr">
        <is>
          <t>手法</t>
        </is>
      </c>
      <c r="H66" s="30" t="inlineStr">
        <is>
          <t>修正する</t>
        </is>
      </c>
      <c r="I66" s="30" t="inlineStr">
        <is>
          <t>影響力</t>
        </is>
      </c>
      <c r="J66" s="30" t="inlineStr">
        <is>
          <t>在庫</t>
        </is>
      </c>
      <c r="K66" s="30" t="inlineStr">
        <is>
          <t>罰金</t>
        </is>
      </c>
      <c r="L66" s="30" t="inlineStr">
        <is>
          <t>手段</t>
        </is>
      </c>
      <c r="M66" s="30" t="inlineStr">
        <is>
          <t>専門家</t>
        </is>
      </c>
      <c r="N66" s="30" t="inlineStr">
        <is>
          <t>くつろいだ</t>
        </is>
      </c>
      <c r="O66" s="31" t="inlineStr"/>
      <c r="P66" s="32">
        <f>IF(ISBLANK(O66), "", IF(TRIM(UPPER(O66))=TRIM(UPPER(Q66)), "○ 正解", "× 不正解"))</f>
        <v/>
      </c>
      <c r="Q66" s="32" t="inlineStr">
        <is>
          <t>J</t>
        </is>
      </c>
      <c r="R66" s="33" t="inlineStr">
        <is>
          <t>くつろいだ</t>
        </is>
      </c>
      <c r="S66" s="34" t="inlineStr">
        <is>
          <t>When she entered the room, she looked relaxed.</t>
        </is>
      </c>
      <c r="T66" s="34" t="inlineStr">
        <is>
          <t>彼女は部屋に入ってきたとき、くつろいだように見えた。</t>
        </is>
      </c>
    </row>
    <row r="67" ht="24" customHeight="1">
      <c r="A67" s="35" t="inlineStr">
        <is>
          <t>Q62</t>
        </is>
      </c>
      <c r="B67" s="4" t="n">
        <v>462</v>
      </c>
      <c r="C67" s="36" t="inlineStr">
        <is>
          <t>upgrade</t>
        </is>
      </c>
      <c r="D67" s="35" t="inlineStr">
        <is>
          <t>動詞</t>
        </is>
      </c>
      <c r="E67" s="37" t="inlineStr">
        <is>
          <t>〜に関する</t>
        </is>
      </c>
      <c r="F67" s="37" t="inlineStr">
        <is>
          <t>温暖な</t>
        </is>
      </c>
      <c r="G67" s="37" t="inlineStr">
        <is>
          <t>気が付いている</t>
        </is>
      </c>
      <c r="H67" s="37" t="inlineStr">
        <is>
          <t>10年</t>
        </is>
      </c>
      <c r="I67" s="37" t="inlineStr">
        <is>
          <t>修正する</t>
        </is>
      </c>
      <c r="J67" s="37" t="inlineStr">
        <is>
          <t>改良する</t>
        </is>
      </c>
      <c r="K67" s="37" t="inlineStr">
        <is>
          <t>臨時の</t>
        </is>
      </c>
      <c r="L67" s="37" t="inlineStr">
        <is>
          <t>車に乗せること</t>
        </is>
      </c>
      <c r="M67" s="37" t="inlineStr">
        <is>
          <t>思い出させる</t>
        </is>
      </c>
      <c r="N67" s="37" t="inlineStr">
        <is>
          <t>指摘する</t>
        </is>
      </c>
      <c r="O67" s="31" t="inlineStr"/>
      <c r="P67" s="38">
        <f>IF(ISBLANK(O67), "", IF(TRIM(UPPER(O67))=TRIM(UPPER(Q67)), "○ 正解", "× 不正解"))</f>
        <v/>
      </c>
      <c r="Q67" s="38" t="inlineStr">
        <is>
          <t>F</t>
        </is>
      </c>
      <c r="R67" s="39" t="inlineStr">
        <is>
          <t>改良する</t>
        </is>
      </c>
      <c r="S67" s="40" t="inlineStr">
        <is>
          <t>We can't afford to upgrade our facilities.</t>
        </is>
      </c>
      <c r="T67" s="40" t="inlineStr">
        <is>
          <t>私たちは設備を改良する余裕がない。</t>
        </is>
      </c>
    </row>
    <row r="68" ht="24" customHeight="1">
      <c r="A68" s="28" t="inlineStr">
        <is>
          <t>Q63</t>
        </is>
      </c>
      <c r="B68" s="9" t="n">
        <v>463</v>
      </c>
      <c r="C68" s="29" t="inlineStr">
        <is>
          <t>accompany</t>
        </is>
      </c>
      <c r="D68" s="28" t="inlineStr">
        <is>
          <t>動詞</t>
        </is>
      </c>
      <c r="E68" s="30" t="inlineStr">
        <is>
          <t>主催する</t>
        </is>
      </c>
      <c r="F68" s="30" t="inlineStr">
        <is>
          <t>明らかにする</t>
        </is>
      </c>
      <c r="G68" s="30" t="inlineStr">
        <is>
          <t>通勤する</t>
        </is>
      </c>
      <c r="H68" s="30" t="inlineStr">
        <is>
          <t>処理する</t>
        </is>
      </c>
      <c r="I68" s="30" t="inlineStr">
        <is>
          <t>焦点を合わせる</t>
        </is>
      </c>
      <c r="J68" s="30" t="inlineStr">
        <is>
          <t>アンケート</t>
        </is>
      </c>
      <c r="K68" s="30" t="inlineStr">
        <is>
          <t>添付する</t>
        </is>
      </c>
      <c r="L68" s="30" t="inlineStr">
        <is>
          <t>同行する</t>
        </is>
      </c>
      <c r="M68" s="30" t="inlineStr">
        <is>
          <t>〜のままでいる</t>
        </is>
      </c>
      <c r="N68" s="30" t="inlineStr">
        <is>
          <t>起こりそうな</t>
        </is>
      </c>
      <c r="O68" s="31" t="inlineStr"/>
      <c r="P68" s="32">
        <f>IF(ISBLANK(O68), "", IF(TRIM(UPPER(O68))=TRIM(UPPER(Q68)), "○ 正解", "× 不正解"))</f>
        <v/>
      </c>
      <c r="Q68" s="32" t="inlineStr">
        <is>
          <t>H</t>
        </is>
      </c>
      <c r="R68" s="33" t="inlineStr">
        <is>
          <t>同行する</t>
        </is>
      </c>
      <c r="S68" s="34" t="inlineStr">
        <is>
          <t>Betty will accompany me to the conference.</t>
        </is>
      </c>
      <c r="T68" s="34" t="inlineStr">
        <is>
          <t>ベティーは私に同行して会議に行く。</t>
        </is>
      </c>
    </row>
    <row r="69" ht="24" customHeight="1">
      <c r="A69" s="35" t="inlineStr">
        <is>
          <t>Q64</t>
        </is>
      </c>
      <c r="B69" s="4" t="n">
        <v>464</v>
      </c>
      <c r="C69" s="36" t="inlineStr">
        <is>
          <t>attitude</t>
        </is>
      </c>
      <c r="D69" s="35" t="inlineStr">
        <is>
          <t>名詞</t>
        </is>
      </c>
      <c r="E69" s="37" t="inlineStr">
        <is>
          <t>不動産</t>
        </is>
      </c>
      <c r="F69" s="37" t="inlineStr">
        <is>
          <t>含む</t>
        </is>
      </c>
      <c r="G69" s="37" t="inlineStr">
        <is>
          <t>態度(姿勢)</t>
        </is>
      </c>
      <c r="H69" s="37" t="inlineStr">
        <is>
          <t>影響力</t>
        </is>
      </c>
      <c r="I69" s="37" t="inlineStr">
        <is>
          <t>通勤する</t>
        </is>
      </c>
      <c r="J69" s="37" t="inlineStr">
        <is>
          <t>辞任する</t>
        </is>
      </c>
      <c r="K69" s="37" t="inlineStr">
        <is>
          <t>10年</t>
        </is>
      </c>
      <c r="L69" s="37" t="inlineStr">
        <is>
          <t>期限が切れる</t>
        </is>
      </c>
      <c r="M69" s="37" t="inlineStr">
        <is>
          <t>設立する</t>
        </is>
      </c>
      <c r="N69" s="37" t="inlineStr">
        <is>
          <t>注ぐ</t>
        </is>
      </c>
      <c r="O69" s="31" t="inlineStr"/>
      <c r="P69" s="38">
        <f>IF(ISBLANK(O69), "", IF(TRIM(UPPER(O69))=TRIM(UPPER(Q69)), "○ 正解", "× 不正解"))</f>
        <v/>
      </c>
      <c r="Q69" s="38" t="inlineStr">
        <is>
          <t>C</t>
        </is>
      </c>
      <c r="R69" s="39" t="inlineStr">
        <is>
          <t>態度(姿勢)</t>
        </is>
      </c>
      <c r="S69" s="40" t="inlineStr">
        <is>
          <t>He has a positive attitude to his work.</t>
        </is>
      </c>
      <c r="T69" s="40" t="inlineStr">
        <is>
          <t>彼は自分の仕事に対して積極的な態度を取っている。</t>
        </is>
      </c>
    </row>
    <row r="70" ht="24" customHeight="1">
      <c r="A70" s="28" t="inlineStr">
        <is>
          <t>Q65</t>
        </is>
      </c>
      <c r="B70" s="9" t="n">
        <v>465</v>
      </c>
      <c r="C70" s="29" t="inlineStr">
        <is>
          <t>commute</t>
        </is>
      </c>
      <c r="D70" s="28" t="inlineStr">
        <is>
          <t>動詞</t>
        </is>
      </c>
      <c r="E70" s="30" t="inlineStr">
        <is>
          <t>実地説明をする</t>
        </is>
      </c>
      <c r="F70" s="30" t="inlineStr">
        <is>
          <t>通勤する</t>
        </is>
      </c>
      <c r="G70" s="30" t="inlineStr">
        <is>
          <t>化学薬品</t>
        </is>
      </c>
      <c r="H70" s="30" t="inlineStr">
        <is>
          <t>臨時の</t>
        </is>
      </c>
      <c r="I70" s="30" t="inlineStr">
        <is>
          <t>影響力</t>
        </is>
      </c>
      <c r="J70" s="30" t="inlineStr">
        <is>
          <t>出迎える</t>
        </is>
      </c>
      <c r="K70" s="30" t="inlineStr">
        <is>
          <t>態度</t>
        </is>
      </c>
      <c r="L70" s="30" t="inlineStr">
        <is>
          <t>寄付する</t>
        </is>
      </c>
      <c r="M70" s="30" t="inlineStr">
        <is>
          <t>会場</t>
        </is>
      </c>
      <c r="N70" s="30" t="inlineStr">
        <is>
          <t>思い出させる</t>
        </is>
      </c>
      <c r="O70" s="31" t="inlineStr"/>
      <c r="P70" s="32">
        <f>IF(ISBLANK(O70), "", IF(TRIM(UPPER(O70))=TRIM(UPPER(Q70)), "○ 正解", "× 不正解"))</f>
        <v/>
      </c>
      <c r="Q70" s="32" t="inlineStr">
        <is>
          <t>B</t>
        </is>
      </c>
      <c r="R70" s="33" t="inlineStr">
        <is>
          <t>通勤する</t>
        </is>
      </c>
      <c r="S70" s="34" t="inlineStr">
        <is>
          <t>Amanda commutes to Montreal every day.</t>
        </is>
      </c>
      <c r="T70" s="34" t="inlineStr">
        <is>
          <t>アマンダは毎日モントリオールに通っている。</t>
        </is>
      </c>
    </row>
    <row r="71" ht="24" customHeight="1">
      <c r="A71" s="35" t="inlineStr">
        <is>
          <t>Q66</t>
        </is>
      </c>
      <c r="B71" s="4" t="n">
        <v>466</v>
      </c>
      <c r="C71" s="36" t="inlineStr">
        <is>
          <t>competitive</t>
        </is>
      </c>
      <c r="D71" s="35" t="inlineStr">
        <is>
          <t>形容詞</t>
        </is>
      </c>
      <c r="E71" s="37" t="inlineStr">
        <is>
          <t>最大の</t>
        </is>
      </c>
      <c r="F71" s="37" t="inlineStr">
        <is>
          <t>処理する</t>
        </is>
      </c>
      <c r="G71" s="37" t="inlineStr">
        <is>
          <t>専門家</t>
        </is>
      </c>
      <c r="H71" s="37" t="inlineStr">
        <is>
          <t>よくある</t>
        </is>
      </c>
      <c r="I71" s="37" t="inlineStr">
        <is>
          <t>競争力のある</t>
        </is>
      </c>
      <c r="J71" s="37" t="inlineStr">
        <is>
          <t>辞任する</t>
        </is>
      </c>
      <c r="K71" s="37" t="inlineStr">
        <is>
          <t>影響力</t>
        </is>
      </c>
      <c r="L71" s="37" t="inlineStr">
        <is>
          <t>修正する</t>
        </is>
      </c>
      <c r="M71" s="37" t="inlineStr">
        <is>
          <t>会場</t>
        </is>
      </c>
      <c r="N71" s="37" t="inlineStr">
        <is>
          <t>移転する</t>
        </is>
      </c>
      <c r="O71" s="31" t="inlineStr"/>
      <c r="P71" s="38">
        <f>IF(ISBLANK(O71), "", IF(TRIM(UPPER(O71))=TRIM(UPPER(Q71)), "○ 正解", "× 不正解"))</f>
        <v/>
      </c>
      <c r="Q71" s="38" t="inlineStr">
        <is>
          <t>E</t>
        </is>
      </c>
      <c r="R71" s="39" t="inlineStr">
        <is>
          <t>競争力のある</t>
        </is>
      </c>
      <c r="S71" s="40" t="inlineStr">
        <is>
          <t>We need to cut labor costs to stay competitive.</t>
        </is>
      </c>
      <c r="T71" s="40" t="inlineStr">
        <is>
          <t>私たちは競争力を保つため、人件費を削減する必要がある。</t>
        </is>
      </c>
    </row>
    <row r="72" ht="24" customHeight="1">
      <c r="A72" s="28" t="inlineStr">
        <is>
          <t>Q67</t>
        </is>
      </c>
      <c r="B72" s="9" t="n">
        <v>467</v>
      </c>
      <c r="C72" s="29" t="inlineStr">
        <is>
          <t>refuse</t>
        </is>
      </c>
      <c r="D72" s="28" t="inlineStr">
        <is>
          <t>動詞</t>
        </is>
      </c>
      <c r="E72" s="30" t="inlineStr">
        <is>
          <t>交換する</t>
        </is>
      </c>
      <c r="F72" s="30" t="inlineStr">
        <is>
          <t>〜に関する</t>
        </is>
      </c>
      <c r="G72" s="30" t="inlineStr">
        <is>
          <t>効率のよい</t>
        </is>
      </c>
      <c r="H72" s="30" t="inlineStr">
        <is>
          <t>寄付する</t>
        </is>
      </c>
      <c r="I72" s="30" t="inlineStr">
        <is>
          <t>同行する</t>
        </is>
      </c>
      <c r="J72" s="30" t="inlineStr">
        <is>
          <t>拒否する</t>
        </is>
      </c>
      <c r="K72" s="30" t="inlineStr">
        <is>
          <t>よくある</t>
        </is>
      </c>
      <c r="L72" s="30" t="inlineStr">
        <is>
          <t>通勤する</t>
        </is>
      </c>
      <c r="M72" s="30" t="inlineStr">
        <is>
          <t>不足</t>
        </is>
      </c>
      <c r="N72" s="30" t="inlineStr">
        <is>
          <t>くつろいだ</t>
        </is>
      </c>
      <c r="O72" s="31" t="inlineStr"/>
      <c r="P72" s="32">
        <f>IF(ISBLANK(O72), "", IF(TRIM(UPPER(O72))=TRIM(UPPER(Q72)), "○ 正解", "× 不正解"))</f>
        <v/>
      </c>
      <c r="Q72" s="32" t="inlineStr">
        <is>
          <t>F</t>
        </is>
      </c>
      <c r="R72" s="33" t="inlineStr">
        <is>
          <t>拒否する</t>
        </is>
      </c>
      <c r="S72" s="34" t="inlineStr">
        <is>
          <t>He refused to speak with journalists.</t>
        </is>
      </c>
      <c r="T72" s="34" t="inlineStr">
        <is>
          <t>彼は報道関係者と話をすることを拒絶した。</t>
        </is>
      </c>
    </row>
    <row r="73" ht="24" customHeight="1">
      <c r="A73" s="35" t="inlineStr">
        <is>
          <t>Q68</t>
        </is>
      </c>
      <c r="B73" s="4" t="n">
        <v>468</v>
      </c>
      <c r="C73" s="36" t="inlineStr">
        <is>
          <t>subscribe</t>
        </is>
      </c>
      <c r="D73" s="35" t="inlineStr">
        <is>
          <t>動詞</t>
        </is>
      </c>
      <c r="E73" s="37" t="inlineStr">
        <is>
          <t>経済的な</t>
        </is>
      </c>
      <c r="F73" s="37" t="inlineStr">
        <is>
          <t>普通は</t>
        </is>
      </c>
      <c r="G73" s="37" t="inlineStr">
        <is>
          <t>〜の前に</t>
        </is>
      </c>
      <c r="H73" s="37" t="inlineStr">
        <is>
          <t>よく知っている</t>
        </is>
      </c>
      <c r="I73" s="37" t="inlineStr">
        <is>
          <t>引き起こす</t>
        </is>
      </c>
      <c r="J73" s="37" t="inlineStr">
        <is>
          <t>拒否する</t>
        </is>
      </c>
      <c r="K73" s="37" t="inlineStr">
        <is>
          <t>定期購読する</t>
        </is>
      </c>
      <c r="L73" s="37" t="inlineStr">
        <is>
          <t>必要な</t>
        </is>
      </c>
      <c r="M73" s="37" t="inlineStr">
        <is>
          <t>臨時の</t>
        </is>
      </c>
      <c r="N73" s="37" t="inlineStr">
        <is>
          <t>分ける</t>
        </is>
      </c>
      <c r="O73" s="31" t="inlineStr"/>
      <c r="P73" s="38">
        <f>IF(ISBLANK(O73), "", IF(TRIM(UPPER(O73))=TRIM(UPPER(Q73)), "○ 正解", "× 不正解"))</f>
        <v/>
      </c>
      <c r="Q73" s="38" t="inlineStr">
        <is>
          <t>G</t>
        </is>
      </c>
      <c r="R73" s="39" t="inlineStr">
        <is>
          <t>定期購読する</t>
        </is>
      </c>
      <c r="S73" s="40" t="inlineStr">
        <is>
          <t>I subscribe to Business Weekly.</t>
        </is>
      </c>
      <c r="T73" s="40" t="inlineStr">
        <is>
          <t>私はビジネスウィークリーを定期購読している。</t>
        </is>
      </c>
    </row>
    <row r="74" ht="24" customHeight="1">
      <c r="A74" s="28" t="inlineStr">
        <is>
          <t>Q69</t>
        </is>
      </c>
      <c r="B74" s="9" t="n">
        <v>469</v>
      </c>
      <c r="C74" s="29" t="inlineStr">
        <is>
          <t>process</t>
        </is>
      </c>
      <c r="D74" s="28" t="inlineStr">
        <is>
          <t>動詞</t>
        </is>
      </c>
      <c r="E74" s="30" t="inlineStr">
        <is>
          <t>在庫</t>
        </is>
      </c>
      <c r="F74" s="30" t="inlineStr">
        <is>
          <t>研究所</t>
        </is>
      </c>
      <c r="G74" s="30" t="inlineStr">
        <is>
          <t>更新する</t>
        </is>
      </c>
      <c r="H74" s="30" t="inlineStr">
        <is>
          <t>同行する</t>
        </is>
      </c>
      <c r="I74" s="30" t="inlineStr">
        <is>
          <t>指摘する</t>
        </is>
      </c>
      <c r="J74" s="30" t="inlineStr">
        <is>
          <t>主催する</t>
        </is>
      </c>
      <c r="K74" s="30" t="inlineStr">
        <is>
          <t>配管工</t>
        </is>
      </c>
      <c r="L74" s="30" t="inlineStr">
        <is>
          <t>処理する</t>
        </is>
      </c>
      <c r="M74" s="30" t="inlineStr">
        <is>
          <t>上の階に</t>
        </is>
      </c>
      <c r="N74" s="30" t="inlineStr">
        <is>
          <t>温暖な</t>
        </is>
      </c>
      <c r="O74" s="31" t="inlineStr"/>
      <c r="P74" s="32">
        <f>IF(ISBLANK(O74), "", IF(TRIM(UPPER(O74))=TRIM(UPPER(Q74)), "○ 正解", "× 不正解"))</f>
        <v/>
      </c>
      <c r="Q74" s="32" t="inlineStr">
        <is>
          <t>H</t>
        </is>
      </c>
      <c r="R74" s="33" t="inlineStr">
        <is>
          <t>処理する</t>
        </is>
      </c>
      <c r="S74" s="34" t="inlineStr">
        <is>
          <t>It will take two weeks to process your visa application.</t>
        </is>
      </c>
      <c r="T74" s="34" t="inlineStr">
        <is>
          <t>あなたのビザ申請を処理するのに2週間かかります。</t>
        </is>
      </c>
    </row>
    <row r="75" ht="24" customHeight="1">
      <c r="A75" s="35" t="inlineStr">
        <is>
          <t>Q70</t>
        </is>
      </c>
      <c r="B75" s="4" t="n">
        <v>470</v>
      </c>
      <c r="C75" s="36" t="inlineStr">
        <is>
          <t>comment</t>
        </is>
      </c>
      <c r="D75" s="35" t="inlineStr">
        <is>
          <t>名詞</t>
        </is>
      </c>
      <c r="E75" s="37" t="inlineStr">
        <is>
          <t>意見</t>
        </is>
      </c>
      <c r="F75" s="37" t="inlineStr">
        <is>
          <t>状況</t>
        </is>
      </c>
      <c r="G75" s="37" t="inlineStr">
        <is>
          <t>気が付いている</t>
        </is>
      </c>
      <c r="H75" s="37" t="inlineStr">
        <is>
          <t>交換する</t>
        </is>
      </c>
      <c r="I75" s="37" t="inlineStr">
        <is>
          <t>化学薬品</t>
        </is>
      </c>
      <c r="J75" s="37" t="inlineStr">
        <is>
          <t>請求書</t>
        </is>
      </c>
      <c r="K75" s="37" t="inlineStr">
        <is>
          <t>内線</t>
        </is>
      </c>
      <c r="L75" s="37" t="inlineStr">
        <is>
          <t>考える</t>
        </is>
      </c>
      <c r="M75" s="37" t="inlineStr">
        <is>
          <t>効率のよい</t>
        </is>
      </c>
      <c r="N75" s="37" t="inlineStr">
        <is>
          <t>不動産</t>
        </is>
      </c>
      <c r="O75" s="31" t="inlineStr"/>
      <c r="P75" s="38">
        <f>IF(ISBLANK(O75), "", IF(TRIM(UPPER(O75))=TRIM(UPPER(Q75)), "○ 正解", "× 不正解"))</f>
        <v/>
      </c>
      <c r="Q75" s="38" t="inlineStr">
        <is>
          <t>A</t>
        </is>
      </c>
      <c r="R75" s="39" t="inlineStr">
        <is>
          <t>意見</t>
        </is>
      </c>
      <c r="S75" s="40" t="inlineStr">
        <is>
          <t>He made helpful comments on my proposal.</t>
        </is>
      </c>
      <c r="T75" s="40" t="inlineStr">
        <is>
          <t>彼は私の企画書に有益な意見を出してくれた。</t>
        </is>
      </c>
    </row>
    <row r="76" ht="24" customHeight="1">
      <c r="A76" s="28" t="inlineStr">
        <is>
          <t>Q71</t>
        </is>
      </c>
      <c r="B76" s="9" t="n">
        <v>471</v>
      </c>
      <c r="C76" s="29" t="inlineStr">
        <is>
          <t>necessary</t>
        </is>
      </c>
      <c r="D76" s="28" t="inlineStr">
        <is>
          <t>形容詞</t>
        </is>
      </c>
      <c r="E76" s="30" t="inlineStr">
        <is>
          <t>教育</t>
        </is>
      </c>
      <c r="F76" s="30" t="inlineStr">
        <is>
          <t>処理する</t>
        </is>
      </c>
      <c r="G76" s="30" t="inlineStr">
        <is>
          <t>予算</t>
        </is>
      </c>
      <c r="H76" s="30" t="inlineStr">
        <is>
          <t>拒否する</t>
        </is>
      </c>
      <c r="I76" s="30" t="inlineStr">
        <is>
          <t>納得させる</t>
        </is>
      </c>
      <c r="J76" s="30" t="inlineStr">
        <is>
          <t>辞任する(身を引く)</t>
        </is>
      </c>
      <c r="K76" s="30" t="inlineStr">
        <is>
          <t>〜のままでいる</t>
        </is>
      </c>
      <c r="L76" s="30" t="inlineStr">
        <is>
          <t>必要な</t>
        </is>
      </c>
      <c r="M76" s="30" t="inlineStr">
        <is>
          <t>最大の</t>
        </is>
      </c>
      <c r="N76" s="30" t="inlineStr">
        <is>
          <t>〜の前に</t>
        </is>
      </c>
      <c r="O76" s="31" t="inlineStr"/>
      <c r="P76" s="32">
        <f>IF(ISBLANK(O76), "", IF(TRIM(UPPER(O76))=TRIM(UPPER(Q76)), "○ 正解", "× 不正解"))</f>
        <v/>
      </c>
      <c r="Q76" s="32" t="inlineStr">
        <is>
          <t>H</t>
        </is>
      </c>
      <c r="R76" s="33" t="inlineStr">
        <is>
          <t>必要な</t>
        </is>
      </c>
      <c r="S76" s="34" t="inlineStr">
        <is>
          <t>Is it necessary to fill out this form?</t>
        </is>
      </c>
      <c r="T76" s="34" t="inlineStr">
        <is>
          <t>この用紙に記入する必要がありますか。</t>
        </is>
      </c>
    </row>
    <row r="77" ht="24" customHeight="1">
      <c r="A77" s="35" t="inlineStr">
        <is>
          <t>Q72</t>
        </is>
      </c>
      <c r="B77" s="4" t="n">
        <v>472</v>
      </c>
      <c r="C77" s="36" t="inlineStr">
        <is>
          <t>respectively</t>
        </is>
      </c>
      <c r="D77" s="35" t="inlineStr">
        <is>
          <t>副詞</t>
        </is>
      </c>
      <c r="E77" s="37" t="inlineStr">
        <is>
          <t>手法</t>
        </is>
      </c>
      <c r="F77" s="37" t="inlineStr">
        <is>
          <t>それぞれ</t>
        </is>
      </c>
      <c r="G77" s="37" t="inlineStr">
        <is>
          <t>出迎える</t>
        </is>
      </c>
      <c r="H77" s="37" t="inlineStr">
        <is>
          <t>辞任する(身を引く)</t>
        </is>
      </c>
      <c r="I77" s="37" t="inlineStr">
        <is>
          <t>専門家</t>
        </is>
      </c>
      <c r="J77" s="37" t="inlineStr">
        <is>
          <t>小売り</t>
        </is>
      </c>
      <c r="K77" s="37" t="inlineStr">
        <is>
          <t>設立する</t>
        </is>
      </c>
      <c r="L77" s="37" t="inlineStr">
        <is>
          <t>収入</t>
        </is>
      </c>
      <c r="M77" s="37" t="inlineStr">
        <is>
          <t>適任である</t>
        </is>
      </c>
      <c r="N77" s="37" t="inlineStr">
        <is>
          <t>同行する</t>
        </is>
      </c>
      <c r="O77" s="31" t="inlineStr"/>
      <c r="P77" s="38">
        <f>IF(ISBLANK(O77), "", IF(TRIM(UPPER(O77))=TRIM(UPPER(Q77)), "○ 正解", "× 不正解"))</f>
        <v/>
      </c>
      <c r="Q77" s="38" t="inlineStr">
        <is>
          <t>B</t>
        </is>
      </c>
      <c r="R77" s="39" t="inlineStr">
        <is>
          <t>それぞれ</t>
        </is>
      </c>
      <c r="S77" s="40" t="inlineStr">
        <is>
          <t>Auckland and Sydney were ranked fifth and tenth, respectively.</t>
        </is>
      </c>
      <c r="T77" s="40" t="inlineStr">
        <is>
          <t>オークランドとシドニーはそれぞれ5位と10位にランク付けされた。</t>
        </is>
      </c>
    </row>
    <row r="78" ht="24" customHeight="1">
      <c r="A78" s="28" t="inlineStr">
        <is>
          <t>Q73</t>
        </is>
      </c>
      <c r="B78" s="9" t="n">
        <v>473</v>
      </c>
      <c r="C78" s="29" t="inlineStr">
        <is>
          <t>probable</t>
        </is>
      </c>
      <c r="D78" s="28" t="inlineStr">
        <is>
          <t>形容詞</t>
        </is>
      </c>
      <c r="E78" s="30" t="inlineStr">
        <is>
          <t>特定の</t>
        </is>
      </c>
      <c r="F78" s="30" t="inlineStr">
        <is>
          <t>手法</t>
        </is>
      </c>
      <c r="G78" s="30" t="inlineStr">
        <is>
          <t>〜に関する</t>
        </is>
      </c>
      <c r="H78" s="30" t="inlineStr">
        <is>
          <t>上の階に</t>
        </is>
      </c>
      <c r="I78" s="30" t="inlineStr">
        <is>
          <t>辞任する(身を引く)</t>
        </is>
      </c>
      <c r="J78" s="30" t="inlineStr">
        <is>
          <t>よくある</t>
        </is>
      </c>
      <c r="K78" s="30" t="inlineStr">
        <is>
          <t>評判</t>
        </is>
      </c>
      <c r="L78" s="30" t="inlineStr">
        <is>
          <t>起こりそうな</t>
        </is>
      </c>
      <c r="M78" s="30" t="inlineStr">
        <is>
          <t>尋ねる</t>
        </is>
      </c>
      <c r="N78" s="30" t="inlineStr">
        <is>
          <t>温暖な</t>
        </is>
      </c>
      <c r="O78" s="31" t="inlineStr"/>
      <c r="P78" s="32">
        <f>IF(ISBLANK(O78), "", IF(TRIM(UPPER(O78))=TRIM(UPPER(Q78)), "○ 正解", "× 不正解"))</f>
        <v/>
      </c>
      <c r="Q78" s="32" t="inlineStr">
        <is>
          <t>H</t>
        </is>
      </c>
      <c r="R78" s="33" t="inlineStr">
        <is>
          <t>起こりそうな</t>
        </is>
      </c>
      <c r="S78" s="34" t="inlineStr">
        <is>
          <t>It is probable that unemployment will rise further.</t>
        </is>
      </c>
      <c r="T78" s="34" t="inlineStr">
        <is>
          <t>失業率はさらに上がる見込みだ。</t>
        </is>
      </c>
    </row>
    <row r="79" ht="24" customHeight="1">
      <c r="A79" s="35" t="inlineStr">
        <is>
          <t>Q74</t>
        </is>
      </c>
      <c r="B79" s="4" t="n">
        <v>474</v>
      </c>
      <c r="C79" s="36" t="inlineStr">
        <is>
          <t>efficient</t>
        </is>
      </c>
      <c r="D79" s="35" t="inlineStr">
        <is>
          <t>形容詞</t>
        </is>
      </c>
      <c r="E79" s="37" t="inlineStr">
        <is>
          <t>効率のよい</t>
        </is>
      </c>
      <c r="F79" s="37" t="inlineStr">
        <is>
          <t>設立する</t>
        </is>
      </c>
      <c r="G79" s="37" t="inlineStr">
        <is>
          <t>期限が切れる</t>
        </is>
      </c>
      <c r="H79" s="37" t="inlineStr">
        <is>
          <t>得る</t>
        </is>
      </c>
      <c r="I79" s="37" t="inlineStr">
        <is>
          <t>態度</t>
        </is>
      </c>
      <c r="J79" s="37" t="inlineStr">
        <is>
          <t>会場</t>
        </is>
      </c>
      <c r="K79" s="37" t="inlineStr">
        <is>
          <t>不動産</t>
        </is>
      </c>
      <c r="L79" s="37" t="inlineStr">
        <is>
          <t>必要な</t>
        </is>
      </c>
      <c r="M79" s="37" t="inlineStr">
        <is>
          <t>大まかな</t>
        </is>
      </c>
      <c r="N79" s="37" t="inlineStr">
        <is>
          <t>修正する</t>
        </is>
      </c>
      <c r="O79" s="31" t="inlineStr"/>
      <c r="P79" s="38">
        <f>IF(ISBLANK(O79), "", IF(TRIM(UPPER(O79))=TRIM(UPPER(Q79)), "○ 正解", "× 不正解"))</f>
        <v/>
      </c>
      <c r="Q79" s="38" t="inlineStr">
        <is>
          <t>A</t>
        </is>
      </c>
      <c r="R79" s="39" t="inlineStr">
        <is>
          <t>効率のよい</t>
        </is>
      </c>
      <c r="S79" s="40" t="inlineStr">
        <is>
          <t>We need more efficient methods of collecting data.</t>
        </is>
      </c>
      <c r="T79" s="40" t="inlineStr">
        <is>
          <t>私たちはもっと効率のよいデータ収集方法が必要です。</t>
        </is>
      </c>
    </row>
    <row r="80" ht="24" customHeight="1">
      <c r="A80" s="28" t="inlineStr">
        <is>
          <t>Q75</t>
        </is>
      </c>
      <c r="B80" s="9" t="n">
        <v>475</v>
      </c>
      <c r="C80" s="29" t="inlineStr">
        <is>
          <t>identify</t>
        </is>
      </c>
      <c r="D80" s="28" t="inlineStr">
        <is>
          <t>動詞</t>
        </is>
      </c>
      <c r="E80" s="30" t="inlineStr">
        <is>
          <t>上の階に</t>
        </is>
      </c>
      <c r="F80" s="30" t="inlineStr">
        <is>
          <t>定期購読する</t>
        </is>
      </c>
      <c r="G80" s="30" t="inlineStr">
        <is>
          <t>研究所</t>
        </is>
      </c>
      <c r="H80" s="30" t="inlineStr">
        <is>
          <t>大まかな</t>
        </is>
      </c>
      <c r="I80" s="30" t="inlineStr">
        <is>
          <t>要因</t>
        </is>
      </c>
      <c r="J80" s="30" t="inlineStr">
        <is>
          <t>寄付する</t>
        </is>
      </c>
      <c r="K80" s="30" t="inlineStr">
        <is>
          <t>状況</t>
        </is>
      </c>
      <c r="L80" s="30" t="inlineStr">
        <is>
          <t>明らかにする</t>
        </is>
      </c>
      <c r="M80" s="30" t="inlineStr">
        <is>
          <t>罰金</t>
        </is>
      </c>
      <c r="N80" s="30" t="inlineStr">
        <is>
          <t>よくある</t>
        </is>
      </c>
      <c r="O80" s="31" t="inlineStr"/>
      <c r="P80" s="32">
        <f>IF(ISBLANK(O80), "", IF(TRIM(UPPER(O80))=TRIM(UPPER(Q80)), "○ 正解", "× 不正解"))</f>
        <v/>
      </c>
      <c r="Q80" s="32" t="inlineStr">
        <is>
          <t>H</t>
        </is>
      </c>
      <c r="R80" s="33" t="inlineStr">
        <is>
          <t>明らかにする</t>
        </is>
      </c>
      <c r="S80" s="34" t="inlineStr">
        <is>
          <t>First, we must identify problem areas.</t>
        </is>
      </c>
      <c r="T80" s="34" t="inlineStr">
        <is>
          <t>はじめに私たちは問題点を明らかにしなければならない。</t>
        </is>
      </c>
    </row>
    <row r="81" ht="24" customHeight="1">
      <c r="A81" s="35" t="inlineStr">
        <is>
          <t>Q76</t>
        </is>
      </c>
      <c r="B81" s="4" t="n">
        <v>476</v>
      </c>
      <c r="C81" s="36" t="inlineStr">
        <is>
          <t>particular</t>
        </is>
      </c>
      <c r="D81" s="35" t="inlineStr">
        <is>
          <t>形容詞</t>
        </is>
      </c>
      <c r="E81" s="37" t="inlineStr">
        <is>
          <t>習慣的に繰り返されること</t>
        </is>
      </c>
      <c r="F81" s="37" t="inlineStr">
        <is>
          <t>影響力</t>
        </is>
      </c>
      <c r="G81" s="37" t="inlineStr">
        <is>
          <t>10年</t>
        </is>
      </c>
      <c r="H81" s="37" t="inlineStr">
        <is>
          <t>設立する</t>
        </is>
      </c>
      <c r="I81" s="37" t="inlineStr">
        <is>
          <t>辞任する</t>
        </is>
      </c>
      <c r="J81" s="37" t="inlineStr">
        <is>
          <t>特定の</t>
        </is>
      </c>
      <c r="K81" s="37" t="inlineStr">
        <is>
          <t>教育</t>
        </is>
      </c>
      <c r="L81" s="37" t="inlineStr">
        <is>
          <t>人口</t>
        </is>
      </c>
      <c r="M81" s="37" t="inlineStr">
        <is>
          <t>化学薬品</t>
        </is>
      </c>
      <c r="N81" s="37" t="inlineStr">
        <is>
          <t>起こりそうな</t>
        </is>
      </c>
      <c r="O81" s="31" t="inlineStr"/>
      <c r="P81" s="38">
        <f>IF(ISBLANK(O81), "", IF(TRIM(UPPER(O81))=TRIM(UPPER(Q81)), "○ 正解", "× 不正解"))</f>
        <v/>
      </c>
      <c r="Q81" s="38" t="inlineStr">
        <is>
          <t>F</t>
        </is>
      </c>
      <c r="R81" s="39" t="inlineStr">
        <is>
          <t>特定の</t>
        </is>
      </c>
      <c r="S81" s="40" t="inlineStr">
        <is>
          <t>Is there any particular movie you want to see?</t>
        </is>
      </c>
      <c r="T81" s="40" t="inlineStr">
        <is>
          <t>何か特に見たい映画はありますか。</t>
        </is>
      </c>
    </row>
    <row r="82" ht="24" customHeight="1">
      <c r="A82" s="28" t="inlineStr">
        <is>
          <t>Q77</t>
        </is>
      </c>
      <c r="B82" s="9" t="n">
        <v>477</v>
      </c>
      <c r="C82" s="29" t="inlineStr">
        <is>
          <t>relocate</t>
        </is>
      </c>
      <c r="D82" s="28" t="inlineStr">
        <is>
          <t>動詞</t>
        </is>
      </c>
      <c r="E82" s="30" t="inlineStr">
        <is>
          <t>人口</t>
        </is>
      </c>
      <c r="F82" s="30" t="inlineStr">
        <is>
          <t>尋ねる</t>
        </is>
      </c>
      <c r="G82" s="30" t="inlineStr">
        <is>
          <t>身体の</t>
        </is>
      </c>
      <c r="H82" s="30" t="inlineStr">
        <is>
          <t>実地説明をする</t>
        </is>
      </c>
      <c r="I82" s="30" t="inlineStr">
        <is>
          <t>最大の</t>
        </is>
      </c>
      <c r="J82" s="30" t="inlineStr">
        <is>
          <t>移転する</t>
        </is>
      </c>
      <c r="K82" s="30" t="inlineStr">
        <is>
          <t>請求書</t>
        </is>
      </c>
      <c r="L82" s="30" t="inlineStr">
        <is>
          <t>手法</t>
        </is>
      </c>
      <c r="M82" s="30" t="inlineStr">
        <is>
          <t>影響力</t>
        </is>
      </c>
      <c r="N82" s="30" t="inlineStr">
        <is>
          <t>改良する</t>
        </is>
      </c>
      <c r="O82" s="31" t="inlineStr"/>
      <c r="P82" s="32">
        <f>IF(ISBLANK(O82), "", IF(TRIM(UPPER(O82))=TRIM(UPPER(Q82)), "○ 正解", "× 不正解"))</f>
        <v/>
      </c>
      <c r="Q82" s="32" t="inlineStr">
        <is>
          <t>F</t>
        </is>
      </c>
      <c r="R82" s="33" t="inlineStr">
        <is>
          <t>移転する</t>
        </is>
      </c>
      <c r="S82" s="34" t="inlineStr">
        <is>
          <t>The company relocated to Los Angeles.</t>
        </is>
      </c>
      <c r="T82" s="34" t="inlineStr">
        <is>
          <t>その会社はロサンゼルスに移転した。</t>
        </is>
      </c>
    </row>
    <row r="83" ht="24" customHeight="1">
      <c r="A83" s="35" t="inlineStr">
        <is>
          <t>Q78</t>
        </is>
      </c>
      <c r="B83" s="4" t="n">
        <v>478</v>
      </c>
      <c r="C83" s="36" t="inlineStr">
        <is>
          <t>remind</t>
        </is>
      </c>
      <c r="D83" s="35" t="inlineStr">
        <is>
          <t>動詞</t>
        </is>
      </c>
      <c r="E83" s="37" t="inlineStr">
        <is>
          <t>最大の</t>
        </is>
      </c>
      <c r="F83" s="37" t="inlineStr">
        <is>
          <t>改良する</t>
        </is>
      </c>
      <c r="G83" s="37" t="inlineStr">
        <is>
          <t>思い出させる</t>
        </is>
      </c>
      <c r="H83" s="37" t="inlineStr">
        <is>
          <t>態度</t>
        </is>
      </c>
      <c r="I83" s="37" t="inlineStr">
        <is>
          <t>必要な</t>
        </is>
      </c>
      <c r="J83" s="37" t="inlineStr">
        <is>
          <t>同行する</t>
        </is>
      </c>
      <c r="K83" s="37" t="inlineStr">
        <is>
          <t>人口</t>
        </is>
      </c>
      <c r="L83" s="37" t="inlineStr">
        <is>
          <t>気が付いている</t>
        </is>
      </c>
      <c r="M83" s="37" t="inlineStr">
        <is>
          <t>辞任する(身を引く)</t>
        </is>
      </c>
      <c r="N83" s="37" t="inlineStr">
        <is>
          <t>辞任する</t>
        </is>
      </c>
      <c r="O83" s="31" t="inlineStr"/>
      <c r="P83" s="38">
        <f>IF(ISBLANK(O83), "", IF(TRIM(UPPER(O83))=TRIM(UPPER(Q83)), "○ 正解", "× 不正解"))</f>
        <v/>
      </c>
      <c r="Q83" s="38" t="inlineStr">
        <is>
          <t>C</t>
        </is>
      </c>
      <c r="R83" s="39" t="inlineStr">
        <is>
          <t>思い出させる</t>
        </is>
      </c>
      <c r="S83" s="40" t="inlineStr">
        <is>
          <t>My secretary reminded me about the meeting tomorrow.</t>
        </is>
      </c>
      <c r="T83" s="40" t="inlineStr">
        <is>
          <t>秘書が私に明日の会議のことを思い出させてくれた。</t>
        </is>
      </c>
    </row>
    <row r="84" ht="24" customHeight="1">
      <c r="A84" s="28" t="inlineStr">
        <is>
          <t>Q79</t>
        </is>
      </c>
      <c r="B84" s="9" t="n">
        <v>479</v>
      </c>
      <c r="C84" s="29" t="inlineStr">
        <is>
          <t>compared with</t>
        </is>
      </c>
      <c r="D84" s="28" t="inlineStr">
        <is>
          <t>熟語</t>
        </is>
      </c>
      <c r="E84" s="30" t="inlineStr">
        <is>
          <t>修復する</t>
        </is>
      </c>
      <c r="F84" s="30" t="inlineStr">
        <is>
          <t>要因</t>
        </is>
      </c>
      <c r="G84" s="30" t="inlineStr">
        <is>
          <t>競争力のある</t>
        </is>
      </c>
      <c r="H84" s="30" t="inlineStr">
        <is>
          <t>経済的な</t>
        </is>
      </c>
      <c r="I84" s="30" t="inlineStr">
        <is>
          <t>軽い飲食料</t>
        </is>
      </c>
      <c r="J84" s="30" t="inlineStr">
        <is>
          <t>大まかな</t>
        </is>
      </c>
      <c r="K84" s="30" t="inlineStr">
        <is>
          <t>〜と比べて</t>
        </is>
      </c>
      <c r="L84" s="30" t="inlineStr">
        <is>
          <t>設立する</t>
        </is>
      </c>
      <c r="M84" s="30" t="inlineStr">
        <is>
          <t>不足</t>
        </is>
      </c>
      <c r="N84" s="30" t="inlineStr">
        <is>
          <t>寄付する</t>
        </is>
      </c>
      <c r="O84" s="31" t="inlineStr"/>
      <c r="P84" s="32">
        <f>IF(ISBLANK(O84), "", IF(TRIM(UPPER(O84))=TRIM(UPPER(Q84)), "○ 正解", "× 不正解"))</f>
        <v/>
      </c>
      <c r="Q84" s="32" t="inlineStr">
        <is>
          <t>G</t>
        </is>
      </c>
      <c r="R84" s="33" t="inlineStr">
        <is>
          <t>〜と比べて</t>
        </is>
      </c>
      <c r="S84" s="34" t="inlineStr">
        <is>
          <t>Our sales rose ten percent compared with last year.</t>
        </is>
      </c>
      <c r="T84" s="34" t="inlineStr">
        <is>
          <t>当社の売り上げは昨年と比べ、10パーセント上がった。</t>
        </is>
      </c>
    </row>
    <row r="85" ht="24" customHeight="1">
      <c r="A85" s="35" t="inlineStr">
        <is>
          <t>Q80</t>
        </is>
      </c>
      <c r="B85" s="4" t="n">
        <v>480</v>
      </c>
      <c r="C85" s="36" t="inlineStr">
        <is>
          <t>establish</t>
        </is>
      </c>
      <c r="D85" s="35" t="inlineStr">
        <is>
          <t>動詞</t>
        </is>
      </c>
      <c r="E85" s="37" t="inlineStr">
        <is>
          <t>添付する</t>
        </is>
      </c>
      <c r="F85" s="37" t="inlineStr">
        <is>
          <t>在庫</t>
        </is>
      </c>
      <c r="G85" s="37" t="inlineStr">
        <is>
          <t>よく知っている</t>
        </is>
      </c>
      <c r="H85" s="37" t="inlineStr">
        <is>
          <t>意見</t>
        </is>
      </c>
      <c r="I85" s="37" t="inlineStr">
        <is>
          <t>転勤する</t>
        </is>
      </c>
      <c r="J85" s="37" t="inlineStr">
        <is>
          <t>信用</t>
        </is>
      </c>
      <c r="K85" s="37" t="inlineStr">
        <is>
          <t>更新する</t>
        </is>
      </c>
      <c r="L85" s="37" t="inlineStr">
        <is>
          <t>設立する</t>
        </is>
      </c>
      <c r="M85" s="37" t="inlineStr">
        <is>
          <t>指摘する</t>
        </is>
      </c>
      <c r="N85" s="37" t="inlineStr">
        <is>
          <t>〜と比べて</t>
        </is>
      </c>
      <c r="O85" s="31" t="inlineStr"/>
      <c r="P85" s="38">
        <f>IF(ISBLANK(O85), "", IF(TRIM(UPPER(O85))=TRIM(UPPER(Q85)), "○ 正解", "× 不正解"))</f>
        <v/>
      </c>
      <c r="Q85" s="38" t="inlineStr">
        <is>
          <t>H</t>
        </is>
      </c>
      <c r="R85" s="39" t="inlineStr">
        <is>
          <t>設立する</t>
        </is>
      </c>
      <c r="S85" s="40" t="inlineStr">
        <is>
          <t>The company was established in 1967.</t>
        </is>
      </c>
      <c r="T85" s="40" t="inlineStr">
        <is>
          <t>その会社は1967年に設立された。</t>
        </is>
      </c>
    </row>
    <row r="86" ht="24" customHeight="1">
      <c r="A86" s="28" t="inlineStr">
        <is>
          <t>Q81</t>
        </is>
      </c>
      <c r="B86" s="9" t="n">
        <v>481</v>
      </c>
      <c r="C86" s="29" t="inlineStr">
        <is>
          <t>point out</t>
        </is>
      </c>
      <c r="D86" s="28" t="inlineStr">
        <is>
          <t>句動詞</t>
        </is>
      </c>
      <c r="E86" s="30" t="inlineStr">
        <is>
          <t>辞任する(身を引く)</t>
        </is>
      </c>
      <c r="F86" s="30" t="inlineStr">
        <is>
          <t>寄付する</t>
        </is>
      </c>
      <c r="G86" s="30" t="inlineStr">
        <is>
          <t>最大の</t>
        </is>
      </c>
      <c r="H86" s="30" t="inlineStr">
        <is>
          <t>処理する</t>
        </is>
      </c>
      <c r="I86" s="30" t="inlineStr">
        <is>
          <t>辞任する</t>
        </is>
      </c>
      <c r="J86" s="30" t="inlineStr">
        <is>
          <t>実地説明をする</t>
        </is>
      </c>
      <c r="K86" s="30" t="inlineStr">
        <is>
          <t>経済的な</t>
        </is>
      </c>
      <c r="L86" s="30" t="inlineStr">
        <is>
          <t>指摘する</t>
        </is>
      </c>
      <c r="M86" s="30" t="inlineStr">
        <is>
          <t>添付する</t>
        </is>
      </c>
      <c r="N86" s="30" t="inlineStr">
        <is>
          <t>拒否する</t>
        </is>
      </c>
      <c r="O86" s="31" t="inlineStr"/>
      <c r="P86" s="32">
        <f>IF(ISBLANK(O86), "", IF(TRIM(UPPER(O86))=TRIM(UPPER(Q86)), "○ 正解", "× 不正解"))</f>
        <v/>
      </c>
      <c r="Q86" s="32" t="inlineStr">
        <is>
          <t>H</t>
        </is>
      </c>
      <c r="R86" s="33" t="inlineStr">
        <is>
          <t>指摘する</t>
        </is>
      </c>
      <c r="S86" s="34" t="inlineStr">
        <is>
          <t>He pointed out that these data are inaccurate.</t>
        </is>
      </c>
      <c r="T86" s="34" t="inlineStr">
        <is>
          <t>彼はこれらのデータが正確でないことを指摘した。</t>
        </is>
      </c>
    </row>
    <row r="87" ht="24" customHeight="1">
      <c r="A87" s="35" t="inlineStr">
        <is>
          <t>Q82</t>
        </is>
      </c>
      <c r="B87" s="4" t="n">
        <v>482</v>
      </c>
      <c r="C87" s="36" t="inlineStr">
        <is>
          <t>property</t>
        </is>
      </c>
      <c r="D87" s="35" t="inlineStr">
        <is>
          <t>名詞</t>
        </is>
      </c>
      <c r="E87" s="37" t="inlineStr">
        <is>
          <t>不動産</t>
        </is>
      </c>
      <c r="F87" s="37" t="inlineStr">
        <is>
          <t>軽い飲食料</t>
        </is>
      </c>
      <c r="G87" s="37" t="inlineStr">
        <is>
          <t>普通は</t>
        </is>
      </c>
      <c r="H87" s="37" t="inlineStr">
        <is>
          <t>〜の前に</t>
        </is>
      </c>
      <c r="I87" s="37" t="inlineStr">
        <is>
          <t>化学薬品</t>
        </is>
      </c>
      <c r="J87" s="37" t="inlineStr">
        <is>
          <t>〜と比べて</t>
        </is>
      </c>
      <c r="K87" s="37" t="inlineStr">
        <is>
          <t>態度</t>
        </is>
      </c>
      <c r="L87" s="37" t="inlineStr">
        <is>
          <t>礼儀正しい</t>
        </is>
      </c>
      <c r="M87" s="37" t="inlineStr">
        <is>
          <t>内線</t>
        </is>
      </c>
      <c r="N87" s="37" t="inlineStr">
        <is>
          <t>注ぐ</t>
        </is>
      </c>
      <c r="O87" s="31" t="inlineStr"/>
      <c r="P87" s="38">
        <f>IF(ISBLANK(O87), "", IF(TRIM(UPPER(O87))=TRIM(UPPER(Q87)), "○ 正解", "× 不正解"))</f>
        <v/>
      </c>
      <c r="Q87" s="38" t="inlineStr">
        <is>
          <t>A</t>
        </is>
      </c>
      <c r="R87" s="39" t="inlineStr">
        <is>
          <t>不動産</t>
        </is>
      </c>
      <c r="S87" s="40" t="inlineStr">
        <is>
          <t>Property prices are falling this month.</t>
        </is>
      </c>
      <c r="T87" s="40" t="inlineStr">
        <is>
          <t>今月、不動産の価格は下がっている。</t>
        </is>
      </c>
    </row>
    <row r="88" ht="24" customHeight="1">
      <c r="A88" s="28" t="inlineStr">
        <is>
          <t>Q83</t>
        </is>
      </c>
      <c r="B88" s="9" t="n">
        <v>483</v>
      </c>
      <c r="C88" s="29" t="inlineStr">
        <is>
          <t>restore</t>
        </is>
      </c>
      <c r="D88" s="28" t="inlineStr">
        <is>
          <t>動詞</t>
        </is>
      </c>
      <c r="E88" s="30" t="inlineStr">
        <is>
          <t>実地説明をする</t>
        </is>
      </c>
      <c r="F88" s="30" t="inlineStr">
        <is>
          <t>小売り</t>
        </is>
      </c>
      <c r="G88" s="30" t="inlineStr">
        <is>
          <t>主催する</t>
        </is>
      </c>
      <c r="H88" s="30" t="inlineStr">
        <is>
          <t>10年</t>
        </is>
      </c>
      <c r="I88" s="30" t="inlineStr">
        <is>
          <t>交換する</t>
        </is>
      </c>
      <c r="J88" s="30" t="inlineStr">
        <is>
          <t>化学薬品</t>
        </is>
      </c>
      <c r="K88" s="30" t="inlineStr">
        <is>
          <t>上の階に</t>
        </is>
      </c>
      <c r="L88" s="30" t="inlineStr">
        <is>
          <t>修復する</t>
        </is>
      </c>
      <c r="M88" s="30" t="inlineStr">
        <is>
          <t>経費</t>
        </is>
      </c>
      <c r="N88" s="30" t="inlineStr">
        <is>
          <t>それぞれ</t>
        </is>
      </c>
      <c r="O88" s="31" t="inlineStr"/>
      <c r="P88" s="32">
        <f>IF(ISBLANK(O88), "", IF(TRIM(UPPER(O88))=TRIM(UPPER(Q88)), "○ 正解", "× 不正解"))</f>
        <v/>
      </c>
      <c r="Q88" s="32" t="inlineStr">
        <is>
          <t>H</t>
        </is>
      </c>
      <c r="R88" s="33" t="inlineStr">
        <is>
          <t>修復する</t>
        </is>
      </c>
      <c r="S88" s="34" t="inlineStr">
        <is>
          <t>The building was restored after the fire.</t>
        </is>
      </c>
      <c r="T88" s="34" t="inlineStr">
        <is>
          <t>その建物は火事のあと、修復された。</t>
        </is>
      </c>
    </row>
    <row r="89" ht="24" customHeight="1">
      <c r="A89" s="35" t="inlineStr">
        <is>
          <t>Q84</t>
        </is>
      </c>
      <c r="B89" s="4" t="n">
        <v>484</v>
      </c>
      <c r="C89" s="36" t="inlineStr">
        <is>
          <t>status</t>
        </is>
      </c>
      <c r="D89" s="35" t="inlineStr">
        <is>
          <t>名詞</t>
        </is>
      </c>
      <c r="E89" s="37" t="inlineStr">
        <is>
          <t>小売り</t>
        </is>
      </c>
      <c r="F89" s="37" t="inlineStr">
        <is>
          <t>〜の前に</t>
        </is>
      </c>
      <c r="G89" s="37" t="inlineStr">
        <is>
          <t>早急な</t>
        </is>
      </c>
      <c r="H89" s="37" t="inlineStr">
        <is>
          <t>よく知っている</t>
        </is>
      </c>
      <c r="I89" s="37" t="inlineStr">
        <is>
          <t>尋ねる</t>
        </is>
      </c>
      <c r="J89" s="37" t="inlineStr">
        <is>
          <t>明確な・特定の</t>
        </is>
      </c>
      <c r="K89" s="37" t="inlineStr">
        <is>
          <t>適任である</t>
        </is>
      </c>
      <c r="L89" s="37" t="inlineStr">
        <is>
          <t>よくある</t>
        </is>
      </c>
      <c r="M89" s="37" t="inlineStr">
        <is>
          <t>くつろいだ</t>
        </is>
      </c>
      <c r="N89" s="37" t="inlineStr">
        <is>
          <t>状況</t>
        </is>
      </c>
      <c r="O89" s="31" t="inlineStr"/>
      <c r="P89" s="38">
        <f>IF(ISBLANK(O89), "", IF(TRIM(UPPER(O89))=TRIM(UPPER(Q89)), "○ 正解", "× 不正解"))</f>
        <v/>
      </c>
      <c r="Q89" s="38" t="inlineStr">
        <is>
          <t>J</t>
        </is>
      </c>
      <c r="R89" s="39" t="inlineStr">
        <is>
          <t>状況</t>
        </is>
      </c>
      <c r="S89" s="40" t="inlineStr">
        <is>
          <t>What's the status of our order?</t>
        </is>
      </c>
      <c r="T89" s="40" t="inlineStr">
        <is>
          <t>私たちの注文品の状況はどうなっていますか。</t>
        </is>
      </c>
    </row>
    <row r="90" ht="24" customHeight="1">
      <c r="A90" s="28" t="inlineStr">
        <is>
          <t>Q85</t>
        </is>
      </c>
      <c r="B90" s="9" t="n">
        <v>485</v>
      </c>
      <c r="C90" s="29" t="inlineStr">
        <is>
          <t>expense</t>
        </is>
      </c>
      <c r="D90" s="28" t="inlineStr">
        <is>
          <t>名詞</t>
        </is>
      </c>
      <c r="E90" s="30" t="inlineStr">
        <is>
          <t>評判</t>
        </is>
      </c>
      <c r="F90" s="30" t="inlineStr">
        <is>
          <t>影響力</t>
        </is>
      </c>
      <c r="G90" s="30" t="inlineStr">
        <is>
          <t>軽い飲食料</t>
        </is>
      </c>
      <c r="H90" s="30" t="inlineStr">
        <is>
          <t>辞任する</t>
        </is>
      </c>
      <c r="I90" s="30" t="inlineStr">
        <is>
          <t>人口</t>
        </is>
      </c>
      <c r="J90" s="30" t="inlineStr">
        <is>
          <t>〜に関する</t>
        </is>
      </c>
      <c r="K90" s="30" t="inlineStr">
        <is>
          <t>経費</t>
        </is>
      </c>
      <c r="L90" s="30" t="inlineStr">
        <is>
          <t>会場</t>
        </is>
      </c>
      <c r="M90" s="30" t="inlineStr">
        <is>
          <t>手法</t>
        </is>
      </c>
      <c r="N90" s="30" t="inlineStr">
        <is>
          <t>同行する</t>
        </is>
      </c>
      <c r="O90" s="31" t="inlineStr"/>
      <c r="P90" s="32">
        <f>IF(ISBLANK(O90), "", IF(TRIM(UPPER(O90))=TRIM(UPPER(Q90)), "○ 正解", "× 不正解"))</f>
        <v/>
      </c>
      <c r="Q90" s="32" t="inlineStr">
        <is>
          <t>G</t>
        </is>
      </c>
      <c r="R90" s="33" t="inlineStr">
        <is>
          <t>経費</t>
        </is>
      </c>
      <c r="S90" s="34" t="inlineStr">
        <is>
          <t>The company will cover travel expenses.</t>
        </is>
      </c>
      <c r="T90" s="34" t="inlineStr">
        <is>
          <t>会社が旅費を出してくれます。</t>
        </is>
      </c>
    </row>
    <row r="91" ht="24" customHeight="1">
      <c r="A91" s="35" t="inlineStr">
        <is>
          <t>Q86</t>
        </is>
      </c>
      <c r="B91" s="4" t="n">
        <v>486</v>
      </c>
      <c r="C91" s="36" t="inlineStr">
        <is>
          <t>focus</t>
        </is>
      </c>
      <c r="D91" s="35" t="inlineStr">
        <is>
          <t>動詞</t>
        </is>
      </c>
      <c r="E91" s="37" t="inlineStr">
        <is>
          <t>信用</t>
        </is>
      </c>
      <c r="F91" s="37" t="inlineStr">
        <is>
          <t>くつろいだ</t>
        </is>
      </c>
      <c r="G91" s="37" t="inlineStr">
        <is>
          <t>実地説明をする</t>
        </is>
      </c>
      <c r="H91" s="37" t="inlineStr">
        <is>
          <t>不足</t>
        </is>
      </c>
      <c r="I91" s="37" t="inlineStr">
        <is>
          <t>思い出させる</t>
        </is>
      </c>
      <c r="J91" s="37" t="inlineStr">
        <is>
          <t>早急な</t>
        </is>
      </c>
      <c r="K91" s="37" t="inlineStr">
        <is>
          <t>影響力</t>
        </is>
      </c>
      <c r="L91" s="37" t="inlineStr">
        <is>
          <t>態度(姿勢)</t>
        </is>
      </c>
      <c r="M91" s="37" t="inlineStr">
        <is>
          <t>専門家</t>
        </is>
      </c>
      <c r="N91" s="37" t="inlineStr">
        <is>
          <t>焦点を合わせる</t>
        </is>
      </c>
      <c r="O91" s="31" t="inlineStr"/>
      <c r="P91" s="38">
        <f>IF(ISBLANK(O91), "", IF(TRIM(UPPER(O91))=TRIM(UPPER(Q91)), "○ 正解", "× 不正解"))</f>
        <v/>
      </c>
      <c r="Q91" s="38" t="inlineStr">
        <is>
          <t>J</t>
        </is>
      </c>
      <c r="R91" s="39" t="inlineStr">
        <is>
          <t>焦点を合わせる</t>
        </is>
      </c>
      <c r="S91" s="40" t="inlineStr">
        <is>
          <t>The conference focuses on environmental issues.</t>
        </is>
      </c>
      <c r="T91" s="40" t="inlineStr">
        <is>
          <t>その会議は環境問題に焦点を合わせている。</t>
        </is>
      </c>
    </row>
    <row r="92" ht="24" customHeight="1">
      <c r="A92" s="28" t="inlineStr">
        <is>
          <t>Q87</t>
        </is>
      </c>
      <c r="B92" s="9" t="n">
        <v>487</v>
      </c>
      <c r="C92" s="29" t="inlineStr">
        <is>
          <t>laboratory</t>
        </is>
      </c>
      <c r="D92" s="28" t="inlineStr">
        <is>
          <t>名詞</t>
        </is>
      </c>
      <c r="E92" s="30" t="inlineStr">
        <is>
          <t>考える</t>
        </is>
      </c>
      <c r="F92" s="30" t="inlineStr">
        <is>
          <t>寄付する</t>
        </is>
      </c>
      <c r="G92" s="30" t="inlineStr">
        <is>
          <t>予算</t>
        </is>
      </c>
      <c r="H92" s="30" t="inlineStr">
        <is>
          <t>重役</t>
        </is>
      </c>
      <c r="I92" s="30" t="inlineStr">
        <is>
          <t>礼儀正しい</t>
        </is>
      </c>
      <c r="J92" s="30" t="inlineStr">
        <is>
          <t>請求書</t>
        </is>
      </c>
      <c r="K92" s="30" t="inlineStr">
        <is>
          <t>納得させる</t>
        </is>
      </c>
      <c r="L92" s="30" t="inlineStr">
        <is>
          <t>効率のよい</t>
        </is>
      </c>
      <c r="M92" s="30" t="inlineStr">
        <is>
          <t>よくある</t>
        </is>
      </c>
      <c r="N92" s="30" t="inlineStr">
        <is>
          <t>研究所</t>
        </is>
      </c>
      <c r="O92" s="31" t="inlineStr"/>
      <c r="P92" s="32">
        <f>IF(ISBLANK(O92), "", IF(TRIM(UPPER(O92))=TRIM(UPPER(Q92)), "○ 正解", "× 不正解"))</f>
        <v/>
      </c>
      <c r="Q92" s="32" t="inlineStr">
        <is>
          <t>J</t>
        </is>
      </c>
      <c r="R92" s="33" t="inlineStr">
        <is>
          <t>研究所</t>
        </is>
      </c>
      <c r="S92" s="34" t="inlineStr">
        <is>
          <t>The company has a research laboratory in Miami.</t>
        </is>
      </c>
      <c r="T92" s="34" t="inlineStr">
        <is>
          <t>その会社はマイアミに研究所を持っている。</t>
        </is>
      </c>
    </row>
    <row r="93" ht="24" customHeight="1">
      <c r="A93" s="35" t="inlineStr">
        <is>
          <t>Q88</t>
        </is>
      </c>
      <c r="B93" s="4" t="n">
        <v>488</v>
      </c>
      <c r="C93" s="36" t="inlineStr">
        <is>
          <t>obtain</t>
        </is>
      </c>
      <c r="D93" s="35" t="inlineStr">
        <is>
          <t>動詞</t>
        </is>
      </c>
      <c r="E93" s="37" t="inlineStr">
        <is>
          <t>よくある</t>
        </is>
      </c>
      <c r="F93" s="37" t="inlineStr">
        <is>
          <t>注意</t>
        </is>
      </c>
      <c r="G93" s="37" t="inlineStr">
        <is>
          <t>車に乗せること</t>
        </is>
      </c>
      <c r="H93" s="37" t="inlineStr">
        <is>
          <t>手段</t>
        </is>
      </c>
      <c r="I93" s="37" t="inlineStr">
        <is>
          <t>不足</t>
        </is>
      </c>
      <c r="J93" s="37" t="inlineStr">
        <is>
          <t>得る</t>
        </is>
      </c>
      <c r="K93" s="37" t="inlineStr">
        <is>
          <t>影響力</t>
        </is>
      </c>
      <c r="L93" s="37" t="inlineStr">
        <is>
          <t>10年</t>
        </is>
      </c>
      <c r="M93" s="37" t="inlineStr">
        <is>
          <t>それぞれ</t>
        </is>
      </c>
      <c r="N93" s="37" t="inlineStr">
        <is>
          <t>評判</t>
        </is>
      </c>
      <c r="O93" s="31" t="inlineStr"/>
      <c r="P93" s="38">
        <f>IF(ISBLANK(O93), "", IF(TRIM(UPPER(O93))=TRIM(UPPER(Q93)), "○ 正解", "× 不正解"))</f>
        <v/>
      </c>
      <c r="Q93" s="38" t="inlineStr">
        <is>
          <t>F</t>
        </is>
      </c>
      <c r="R93" s="39" t="inlineStr">
        <is>
          <t>得る</t>
        </is>
      </c>
      <c r="S93" s="40" t="inlineStr">
        <is>
          <t>You must obtain permission from the publisher.</t>
        </is>
      </c>
      <c r="T93" s="40" t="inlineStr">
        <is>
          <t>あなたは出版社から許可を得なければなりません。</t>
        </is>
      </c>
    </row>
    <row r="94" ht="24" customHeight="1">
      <c r="A94" s="28" t="inlineStr">
        <is>
          <t>Q89</t>
        </is>
      </c>
      <c r="B94" s="9" t="n">
        <v>489</v>
      </c>
      <c r="C94" s="29" t="inlineStr">
        <is>
          <t>reputation</t>
        </is>
      </c>
      <c r="D94" s="28" t="inlineStr">
        <is>
          <t>名詞</t>
        </is>
      </c>
      <c r="E94" s="30" t="inlineStr">
        <is>
          <t>内線</t>
        </is>
      </c>
      <c r="F94" s="30" t="inlineStr">
        <is>
          <t>小売り</t>
        </is>
      </c>
      <c r="G94" s="30" t="inlineStr">
        <is>
          <t>会話</t>
        </is>
      </c>
      <c r="H94" s="30" t="inlineStr">
        <is>
          <t>適任である</t>
        </is>
      </c>
      <c r="I94" s="30" t="inlineStr">
        <is>
          <t>経費</t>
        </is>
      </c>
      <c r="J94" s="30" t="inlineStr">
        <is>
          <t>求める</t>
        </is>
      </c>
      <c r="K94" s="30" t="inlineStr">
        <is>
          <t>評判</t>
        </is>
      </c>
      <c r="L94" s="30" t="inlineStr">
        <is>
          <t>修復する</t>
        </is>
      </c>
      <c r="M94" s="30" t="inlineStr">
        <is>
          <t>出迎える</t>
        </is>
      </c>
      <c r="N94" s="30" t="inlineStr">
        <is>
          <t>明確な・特定の</t>
        </is>
      </c>
      <c r="O94" s="31" t="inlineStr"/>
      <c r="P94" s="32">
        <f>IF(ISBLANK(O94), "", IF(TRIM(UPPER(O94))=TRIM(UPPER(Q94)), "○ 正解", "× 不正解"))</f>
        <v/>
      </c>
      <c r="Q94" s="32" t="inlineStr">
        <is>
          <t>G</t>
        </is>
      </c>
      <c r="R94" s="33" t="inlineStr">
        <is>
          <t>評判</t>
        </is>
      </c>
      <c r="S94" s="34" t="inlineStr">
        <is>
          <t>We have a reputation for quality.</t>
        </is>
      </c>
      <c r="T94" s="34" t="inlineStr">
        <is>
          <t>当社は品質の良さで評判を得ている。</t>
        </is>
      </c>
    </row>
    <row r="95" ht="24" customHeight="1">
      <c r="A95" s="35" t="inlineStr">
        <is>
          <t>Q90</t>
        </is>
      </c>
      <c r="B95" s="4" t="n">
        <v>490</v>
      </c>
      <c r="C95" s="36" t="inlineStr">
        <is>
          <t>retail</t>
        </is>
      </c>
      <c r="D95" s="35" t="inlineStr">
        <is>
          <t>名詞</t>
        </is>
      </c>
      <c r="E95" s="37" t="inlineStr">
        <is>
          <t>化学薬品</t>
        </is>
      </c>
      <c r="F95" s="37" t="inlineStr">
        <is>
          <t>添付する</t>
        </is>
      </c>
      <c r="G95" s="37" t="inlineStr">
        <is>
          <t>経費</t>
        </is>
      </c>
      <c r="H95" s="37" t="inlineStr">
        <is>
          <t>小売り</t>
        </is>
      </c>
      <c r="I95" s="37" t="inlineStr">
        <is>
          <t>予算</t>
        </is>
      </c>
      <c r="J95" s="37" t="inlineStr">
        <is>
          <t>取り消す</t>
        </is>
      </c>
      <c r="K95" s="37" t="inlineStr">
        <is>
          <t>重役</t>
        </is>
      </c>
      <c r="L95" s="37" t="inlineStr">
        <is>
          <t>経済的な</t>
        </is>
      </c>
      <c r="M95" s="37" t="inlineStr">
        <is>
          <t>移転する</t>
        </is>
      </c>
      <c r="N95" s="37" t="inlineStr">
        <is>
          <t>修正する</t>
        </is>
      </c>
      <c r="O95" s="31" t="inlineStr"/>
      <c r="P95" s="38">
        <f>IF(ISBLANK(O95), "", IF(TRIM(UPPER(O95))=TRIM(UPPER(Q95)), "○ 正解", "× 不正解"))</f>
        <v/>
      </c>
      <c r="Q95" s="38" t="inlineStr">
        <is>
          <t>D</t>
        </is>
      </c>
      <c r="R95" s="39" t="inlineStr">
        <is>
          <t>小売り</t>
        </is>
      </c>
      <c r="S95" s="40" t="inlineStr">
        <is>
          <t>You can buy these products at retail stores.</t>
        </is>
      </c>
      <c r="T95" s="40" t="inlineStr">
        <is>
          <t>これらの製品は小売店でご購入いただけます。</t>
        </is>
      </c>
    </row>
    <row r="96" ht="24" customHeight="1">
      <c r="A96" s="28" t="inlineStr">
        <is>
          <t>Q91</t>
        </is>
      </c>
      <c r="B96" s="9" t="n">
        <v>491</v>
      </c>
      <c r="C96" s="29" t="inlineStr">
        <is>
          <t>contribute</t>
        </is>
      </c>
      <c r="D96" s="28" t="inlineStr">
        <is>
          <t>動詞</t>
        </is>
      </c>
      <c r="E96" s="30" t="inlineStr">
        <is>
          <t>明確な・特定の</t>
        </is>
      </c>
      <c r="F96" s="30" t="inlineStr">
        <is>
          <t>組み立てる</t>
        </is>
      </c>
      <c r="G96" s="30" t="inlineStr">
        <is>
          <t>10年</t>
        </is>
      </c>
      <c r="H96" s="30" t="inlineStr">
        <is>
          <t>寄付する</t>
        </is>
      </c>
      <c r="I96" s="30" t="inlineStr">
        <is>
          <t>人口</t>
        </is>
      </c>
      <c r="J96" s="30" t="inlineStr">
        <is>
          <t>アンケート</t>
        </is>
      </c>
      <c r="K96" s="30" t="inlineStr">
        <is>
          <t>修復する</t>
        </is>
      </c>
      <c r="L96" s="30" t="inlineStr">
        <is>
          <t>会場</t>
        </is>
      </c>
      <c r="M96" s="30" t="inlineStr">
        <is>
          <t>設立する</t>
        </is>
      </c>
      <c r="N96" s="30" t="inlineStr">
        <is>
          <t>更新する</t>
        </is>
      </c>
      <c r="O96" s="31" t="inlineStr"/>
      <c r="P96" s="32">
        <f>IF(ISBLANK(O96), "", IF(TRIM(UPPER(O96))=TRIM(UPPER(Q96)), "○ 正解", "× 不正解"))</f>
        <v/>
      </c>
      <c r="Q96" s="32" t="inlineStr">
        <is>
          <t>D</t>
        </is>
      </c>
      <c r="R96" s="33" t="inlineStr">
        <is>
          <t>寄付する</t>
        </is>
      </c>
      <c r="S96" s="34" t="inlineStr">
        <is>
          <t>Ms. Hunter contributed ten thousand dollars to the school.</t>
        </is>
      </c>
      <c r="T96" s="34" t="inlineStr">
        <is>
          <t>ハンターさんはその学校へ1万ドルの寄付をした。</t>
        </is>
      </c>
    </row>
    <row r="97" ht="24" customHeight="1">
      <c r="A97" s="35" t="inlineStr">
        <is>
          <t>Q92</t>
        </is>
      </c>
      <c r="B97" s="4" t="n">
        <v>492</v>
      </c>
      <c r="C97" s="36" t="inlineStr">
        <is>
          <t>convince</t>
        </is>
      </c>
      <c r="D97" s="35" t="inlineStr">
        <is>
          <t>動詞</t>
        </is>
      </c>
      <c r="E97" s="37" t="inlineStr">
        <is>
          <t>改良する</t>
        </is>
      </c>
      <c r="F97" s="37" t="inlineStr">
        <is>
          <t>処理する</t>
        </is>
      </c>
      <c r="G97" s="37" t="inlineStr">
        <is>
          <t>配管工</t>
        </is>
      </c>
      <c r="H97" s="37" t="inlineStr">
        <is>
          <t>含む</t>
        </is>
      </c>
      <c r="I97" s="37" t="inlineStr">
        <is>
          <t>請求書</t>
        </is>
      </c>
      <c r="J97" s="37" t="inlineStr">
        <is>
          <t>交換する</t>
        </is>
      </c>
      <c r="K97" s="37" t="inlineStr">
        <is>
          <t>〜のままでいる</t>
        </is>
      </c>
      <c r="L97" s="37" t="inlineStr">
        <is>
          <t>主催する</t>
        </is>
      </c>
      <c r="M97" s="37" t="inlineStr">
        <is>
          <t>納得させる</t>
        </is>
      </c>
      <c r="N97" s="37" t="inlineStr">
        <is>
          <t>アンケート</t>
        </is>
      </c>
      <c r="O97" s="31" t="inlineStr"/>
      <c r="P97" s="38">
        <f>IF(ISBLANK(O97), "", IF(TRIM(UPPER(O97))=TRIM(UPPER(Q97)), "○ 正解", "× 不正解"))</f>
        <v/>
      </c>
      <c r="Q97" s="38" t="inlineStr">
        <is>
          <t>I</t>
        </is>
      </c>
      <c r="R97" s="39" t="inlineStr">
        <is>
          <t>納得させる</t>
        </is>
      </c>
      <c r="S97" s="40" t="inlineStr">
        <is>
          <t>We have to convince the president.</t>
        </is>
      </c>
      <c r="T97" s="40" t="inlineStr">
        <is>
          <t>私たちは社長を納得させなければならない。</t>
        </is>
      </c>
    </row>
    <row r="98" ht="24" customHeight="1">
      <c r="A98" s="28" t="inlineStr">
        <is>
          <t>Q93</t>
        </is>
      </c>
      <c r="B98" s="9" t="n">
        <v>493</v>
      </c>
      <c r="C98" s="29" t="inlineStr">
        <is>
          <t>divide</t>
        </is>
      </c>
      <c r="D98" s="28" t="inlineStr">
        <is>
          <t>動詞</t>
        </is>
      </c>
      <c r="E98" s="30" t="inlineStr">
        <is>
          <t>分ける</t>
        </is>
      </c>
      <c r="F98" s="30" t="inlineStr">
        <is>
          <t>取り消す</t>
        </is>
      </c>
      <c r="G98" s="30" t="inlineStr">
        <is>
          <t>必要な</t>
        </is>
      </c>
      <c r="H98" s="30" t="inlineStr">
        <is>
          <t>臨時の</t>
        </is>
      </c>
      <c r="I98" s="30" t="inlineStr">
        <is>
          <t>実地説明をする</t>
        </is>
      </c>
      <c r="J98" s="30" t="inlineStr">
        <is>
          <t>経費</t>
        </is>
      </c>
      <c r="K98" s="30" t="inlineStr">
        <is>
          <t>起こりそうな</t>
        </is>
      </c>
      <c r="L98" s="30" t="inlineStr">
        <is>
          <t>普通は</t>
        </is>
      </c>
      <c r="M98" s="30" t="inlineStr">
        <is>
          <t>修復する</t>
        </is>
      </c>
      <c r="N98" s="30" t="inlineStr">
        <is>
          <t>収入</t>
        </is>
      </c>
      <c r="O98" s="31" t="inlineStr"/>
      <c r="P98" s="32">
        <f>IF(ISBLANK(O98), "", IF(TRIM(UPPER(O98))=TRIM(UPPER(Q98)), "○ 正解", "× 不正解"))</f>
        <v/>
      </c>
      <c r="Q98" s="32" t="inlineStr">
        <is>
          <t>A</t>
        </is>
      </c>
      <c r="R98" s="33" t="inlineStr">
        <is>
          <t>分ける</t>
        </is>
      </c>
      <c r="S98" s="34" t="inlineStr">
        <is>
          <t>We should divide the profits equally among us.</t>
        </is>
      </c>
      <c r="T98" s="34" t="inlineStr">
        <is>
          <t>利益は私たちの間で平等に分けるべきです。</t>
        </is>
      </c>
    </row>
    <row r="99" ht="24" customHeight="1">
      <c r="A99" s="35" t="inlineStr">
        <is>
          <t>Q94</t>
        </is>
      </c>
      <c r="B99" s="4" t="n">
        <v>494</v>
      </c>
      <c r="C99" s="36" t="inlineStr">
        <is>
          <t>fine</t>
        </is>
      </c>
      <c r="D99" s="35" t="inlineStr">
        <is>
          <t>名詞</t>
        </is>
      </c>
      <c r="E99" s="37" t="inlineStr">
        <is>
          <t>会話</t>
        </is>
      </c>
      <c r="F99" s="37" t="inlineStr">
        <is>
          <t>臨時の</t>
        </is>
      </c>
      <c r="G99" s="37" t="inlineStr">
        <is>
          <t>すぐの</t>
        </is>
      </c>
      <c r="H99" s="37" t="inlineStr">
        <is>
          <t>化学薬品</t>
        </is>
      </c>
      <c r="I99" s="37" t="inlineStr">
        <is>
          <t>罰金</t>
        </is>
      </c>
      <c r="J99" s="37" t="inlineStr">
        <is>
          <t>必要な</t>
        </is>
      </c>
      <c r="K99" s="37" t="inlineStr">
        <is>
          <t>〜に関する</t>
        </is>
      </c>
      <c r="L99" s="37" t="inlineStr">
        <is>
          <t>影響力</t>
        </is>
      </c>
      <c r="M99" s="37" t="inlineStr">
        <is>
          <t>経済的な</t>
        </is>
      </c>
      <c r="N99" s="37" t="inlineStr">
        <is>
          <t>出迎える</t>
        </is>
      </c>
      <c r="O99" s="31" t="inlineStr"/>
      <c r="P99" s="38">
        <f>IF(ISBLANK(O99), "", IF(TRIM(UPPER(O99))=TRIM(UPPER(Q99)), "○ 正解", "× 不正解"))</f>
        <v/>
      </c>
      <c r="Q99" s="38" t="inlineStr">
        <is>
          <t>E</t>
        </is>
      </c>
      <c r="R99" s="39" t="inlineStr">
        <is>
          <t>罰金</t>
        </is>
      </c>
      <c r="S99" s="40" t="inlineStr">
        <is>
          <t>I got a 55-dollar fine for illegal parking.</t>
        </is>
      </c>
      <c r="T99" s="40" t="inlineStr">
        <is>
          <t>私は違法駐車で55ドルの罰金を取られた。</t>
        </is>
      </c>
    </row>
    <row r="100" ht="24" customHeight="1">
      <c r="A100" s="28" t="inlineStr">
        <is>
          <t>Q95</t>
        </is>
      </c>
      <c r="B100" s="9" t="n">
        <v>495</v>
      </c>
      <c r="C100" s="29" t="inlineStr">
        <is>
          <t>inquire</t>
        </is>
      </c>
      <c r="D100" s="28" t="inlineStr">
        <is>
          <t>動詞</t>
        </is>
      </c>
      <c r="E100" s="30" t="inlineStr">
        <is>
          <t>取り消す</t>
        </is>
      </c>
      <c r="F100" s="30" t="inlineStr">
        <is>
          <t>小売り</t>
        </is>
      </c>
      <c r="G100" s="30" t="inlineStr">
        <is>
          <t>〜と比べて</t>
        </is>
      </c>
      <c r="H100" s="30" t="inlineStr">
        <is>
          <t>罰金</t>
        </is>
      </c>
      <c r="I100" s="30" t="inlineStr">
        <is>
          <t>指摘する</t>
        </is>
      </c>
      <c r="J100" s="30" t="inlineStr">
        <is>
          <t>尋ねる</t>
        </is>
      </c>
      <c r="K100" s="30" t="inlineStr">
        <is>
          <t>実地説明をする</t>
        </is>
      </c>
      <c r="L100" s="30" t="inlineStr">
        <is>
          <t>適任である</t>
        </is>
      </c>
      <c r="M100" s="30" t="inlineStr">
        <is>
          <t>態度</t>
        </is>
      </c>
      <c r="N100" s="30" t="inlineStr">
        <is>
          <t>同行する</t>
        </is>
      </c>
      <c r="O100" s="31" t="inlineStr"/>
      <c r="P100" s="32">
        <f>IF(ISBLANK(O100), "", IF(TRIM(UPPER(O100))=TRIM(UPPER(Q100)), "○ 正解", "× 不正解"))</f>
        <v/>
      </c>
      <c r="Q100" s="32" t="inlineStr">
        <is>
          <t>F</t>
        </is>
      </c>
      <c r="R100" s="33" t="inlineStr">
        <is>
          <t>尋ねる</t>
        </is>
      </c>
      <c r="S100" s="34" t="inlineStr">
        <is>
          <t>I inquired about their service.</t>
        </is>
      </c>
      <c r="T100" s="34" t="inlineStr">
        <is>
          <t>私は彼らのサービスについて尋ねた。</t>
        </is>
      </c>
    </row>
    <row r="101" ht="24" customHeight="1">
      <c r="A101" s="35" t="inlineStr">
        <is>
          <t>Q96</t>
        </is>
      </c>
      <c r="B101" s="4" t="n">
        <v>496</v>
      </c>
      <c r="C101" s="36" t="inlineStr">
        <is>
          <t>specific</t>
        </is>
      </c>
      <c r="D101" s="35" t="inlineStr">
        <is>
          <t>形容詞</t>
        </is>
      </c>
      <c r="E101" s="37" t="inlineStr">
        <is>
          <t>修復する</t>
        </is>
      </c>
      <c r="F101" s="37" t="inlineStr">
        <is>
          <t>評判</t>
        </is>
      </c>
      <c r="G101" s="37" t="inlineStr">
        <is>
          <t>会場</t>
        </is>
      </c>
      <c r="H101" s="37" t="inlineStr">
        <is>
          <t>早急な</t>
        </is>
      </c>
      <c r="I101" s="37" t="inlineStr">
        <is>
          <t>添付する</t>
        </is>
      </c>
      <c r="J101" s="37" t="inlineStr">
        <is>
          <t>明確な・特定の</t>
        </is>
      </c>
      <c r="K101" s="37" t="inlineStr">
        <is>
          <t>含む</t>
        </is>
      </c>
      <c r="L101" s="37" t="inlineStr">
        <is>
          <t>処理する</t>
        </is>
      </c>
      <c r="M101" s="37" t="inlineStr">
        <is>
          <t>同行する</t>
        </is>
      </c>
      <c r="N101" s="37" t="inlineStr">
        <is>
          <t>寄付する</t>
        </is>
      </c>
      <c r="O101" s="31" t="inlineStr"/>
      <c r="P101" s="38">
        <f>IF(ISBLANK(O101), "", IF(TRIM(UPPER(O101))=TRIM(UPPER(Q101)), "○ 正解", "× 不正解"))</f>
        <v/>
      </c>
      <c r="Q101" s="38" t="inlineStr">
        <is>
          <t>F</t>
        </is>
      </c>
      <c r="R101" s="39" t="inlineStr">
        <is>
          <t>明確な・特定の</t>
        </is>
      </c>
      <c r="S101" s="40" t="inlineStr">
        <is>
          <t>Each product is designed for a specific purpose.</t>
        </is>
      </c>
      <c r="T101" s="40" t="inlineStr">
        <is>
          <t>それぞれの製品は特定の目的のために作られています。</t>
        </is>
      </c>
    </row>
    <row r="102" ht="24" customHeight="1">
      <c r="A102" s="28" t="inlineStr">
        <is>
          <t>Q97</t>
        </is>
      </c>
      <c r="B102" s="9" t="n">
        <v>497</v>
      </c>
      <c r="C102" s="29" t="inlineStr">
        <is>
          <t>stock</t>
        </is>
      </c>
      <c r="D102" s="28" t="inlineStr">
        <is>
          <t>名詞</t>
        </is>
      </c>
      <c r="E102" s="30" t="inlineStr">
        <is>
          <t>軽い飲食料</t>
        </is>
      </c>
      <c r="F102" s="30" t="inlineStr">
        <is>
          <t>普通は</t>
        </is>
      </c>
      <c r="G102" s="30" t="inlineStr">
        <is>
          <t>修復する</t>
        </is>
      </c>
      <c r="H102" s="30" t="inlineStr">
        <is>
          <t>〜の前に</t>
        </is>
      </c>
      <c r="I102" s="30" t="inlineStr">
        <is>
          <t>最大の</t>
        </is>
      </c>
      <c r="J102" s="30" t="inlineStr">
        <is>
          <t>在庫</t>
        </is>
      </c>
      <c r="K102" s="30" t="inlineStr">
        <is>
          <t>起こりそうな</t>
        </is>
      </c>
      <c r="L102" s="30" t="inlineStr">
        <is>
          <t>不動産</t>
        </is>
      </c>
      <c r="M102" s="30" t="inlineStr">
        <is>
          <t>注ぐ</t>
        </is>
      </c>
      <c r="N102" s="30" t="inlineStr">
        <is>
          <t>10年</t>
        </is>
      </c>
      <c r="O102" s="31" t="inlineStr"/>
      <c r="P102" s="32">
        <f>IF(ISBLANK(O102), "", IF(TRIM(UPPER(O102))=TRIM(UPPER(Q102)), "○ 正解", "× 不正解"))</f>
        <v/>
      </c>
      <c r="Q102" s="32" t="inlineStr">
        <is>
          <t>F</t>
        </is>
      </c>
      <c r="R102" s="33" t="inlineStr">
        <is>
          <t>在庫</t>
        </is>
      </c>
      <c r="S102" s="34" t="inlineStr">
        <is>
          <t>This model is currently out of stock.</t>
        </is>
      </c>
      <c r="T102" s="34" t="inlineStr">
        <is>
          <t>このモデルは現在、在庫が切れています。</t>
        </is>
      </c>
    </row>
    <row r="103" ht="24" customHeight="1">
      <c r="A103" s="35" t="inlineStr">
        <is>
          <t>Q98</t>
        </is>
      </c>
      <c r="B103" s="4" t="n">
        <v>498</v>
      </c>
      <c r="C103" s="36" t="inlineStr">
        <is>
          <t>aware</t>
        </is>
      </c>
      <c r="D103" s="35" t="inlineStr">
        <is>
          <t>形容詞</t>
        </is>
      </c>
      <c r="E103" s="37" t="inlineStr">
        <is>
          <t>寄付する</t>
        </is>
      </c>
      <c r="F103" s="37" t="inlineStr">
        <is>
          <t>経費</t>
        </is>
      </c>
      <c r="G103" s="37" t="inlineStr">
        <is>
          <t>添付する</t>
        </is>
      </c>
      <c r="H103" s="37" t="inlineStr">
        <is>
          <t>気が付いている</t>
        </is>
      </c>
      <c r="I103" s="37" t="inlineStr">
        <is>
          <t>アンケート</t>
        </is>
      </c>
      <c r="J103" s="37" t="inlineStr">
        <is>
          <t>納得させる</t>
        </is>
      </c>
      <c r="K103" s="37" t="inlineStr">
        <is>
          <t>辞任する</t>
        </is>
      </c>
      <c r="L103" s="37" t="inlineStr">
        <is>
          <t>重役</t>
        </is>
      </c>
      <c r="M103" s="37" t="inlineStr">
        <is>
          <t>経済的な</t>
        </is>
      </c>
      <c r="N103" s="37" t="inlineStr">
        <is>
          <t>大まかな</t>
        </is>
      </c>
      <c r="O103" s="31" t="inlineStr"/>
      <c r="P103" s="38">
        <f>IF(ISBLANK(O103), "", IF(TRIM(UPPER(O103))=TRIM(UPPER(Q103)), "○ 正解", "× 不正解"))</f>
        <v/>
      </c>
      <c r="Q103" s="38" t="inlineStr">
        <is>
          <t>D</t>
        </is>
      </c>
      <c r="R103" s="39" t="inlineStr">
        <is>
          <t>気が付いている</t>
        </is>
      </c>
      <c r="S103" s="40" t="inlineStr">
        <is>
          <t>We are aware that our sales network is insufficient.</t>
        </is>
      </c>
      <c r="T103" s="40" t="inlineStr">
        <is>
          <t>私たちは販売網が十分でないことを知っています。</t>
        </is>
      </c>
    </row>
    <row r="104" ht="24" customHeight="1">
      <c r="A104" s="28" t="inlineStr">
        <is>
          <t>Q99</t>
        </is>
      </c>
      <c r="B104" s="9" t="n">
        <v>499</v>
      </c>
      <c r="C104" s="29" t="inlineStr">
        <is>
          <t>broad</t>
        </is>
      </c>
      <c r="D104" s="28" t="inlineStr">
        <is>
          <t>形容詞</t>
        </is>
      </c>
      <c r="E104" s="30" t="inlineStr">
        <is>
          <t>内線</t>
        </is>
      </c>
      <c r="F104" s="30" t="inlineStr">
        <is>
          <t>身体の</t>
        </is>
      </c>
      <c r="G104" s="30" t="inlineStr">
        <is>
          <t>大まかな</t>
        </is>
      </c>
      <c r="H104" s="30" t="inlineStr">
        <is>
          <t>必要な</t>
        </is>
      </c>
      <c r="I104" s="30" t="inlineStr">
        <is>
          <t>すぐの</t>
        </is>
      </c>
      <c r="J104" s="30" t="inlineStr">
        <is>
          <t>くつろいだ</t>
        </is>
      </c>
      <c r="K104" s="30" t="inlineStr">
        <is>
          <t>10年</t>
        </is>
      </c>
      <c r="L104" s="30" t="inlineStr">
        <is>
          <t>温暖な</t>
        </is>
      </c>
      <c r="M104" s="30" t="inlineStr">
        <is>
          <t>罰金</t>
        </is>
      </c>
      <c r="N104" s="30" t="inlineStr">
        <is>
          <t>請求書</t>
        </is>
      </c>
      <c r="O104" s="31" t="inlineStr"/>
      <c r="P104" s="32">
        <f>IF(ISBLANK(O104), "", IF(TRIM(UPPER(O104))=TRIM(UPPER(Q104)), "○ 正解", "× 不正解"))</f>
        <v/>
      </c>
      <c r="Q104" s="32" t="inlineStr">
        <is>
          <t>C</t>
        </is>
      </c>
      <c r="R104" s="33" t="inlineStr">
        <is>
          <t>大まかな</t>
        </is>
      </c>
      <c r="S104" s="34" t="inlineStr">
        <is>
          <t>He gave us a broad outline of the plan.</t>
        </is>
      </c>
      <c r="T104" s="34" t="inlineStr">
        <is>
          <t>彼は私たちにその計画の大まかな概要を示した。</t>
        </is>
      </c>
    </row>
    <row r="105" ht="24" customHeight="1">
      <c r="A105" s="35" t="inlineStr">
        <is>
          <t>Q100</t>
        </is>
      </c>
      <c r="B105" s="4" t="n">
        <v>500</v>
      </c>
      <c r="C105" s="36" t="inlineStr">
        <is>
          <t>maximum</t>
        </is>
      </c>
      <c r="D105" s="35" t="inlineStr">
        <is>
          <t>形容詞</t>
        </is>
      </c>
      <c r="E105" s="37" t="inlineStr">
        <is>
          <t>最大の</t>
        </is>
      </c>
      <c r="F105" s="37" t="inlineStr">
        <is>
          <t>取り消す</t>
        </is>
      </c>
      <c r="G105" s="37" t="inlineStr">
        <is>
          <t>含む</t>
        </is>
      </c>
      <c r="H105" s="37" t="inlineStr">
        <is>
          <t>修正する</t>
        </is>
      </c>
      <c r="I105" s="37" t="inlineStr">
        <is>
          <t>教育</t>
        </is>
      </c>
      <c r="J105" s="37" t="inlineStr">
        <is>
          <t>提携</t>
        </is>
      </c>
      <c r="K105" s="37" t="inlineStr">
        <is>
          <t>〜の前に</t>
        </is>
      </c>
      <c r="L105" s="37" t="inlineStr">
        <is>
          <t>普通は</t>
        </is>
      </c>
      <c r="M105" s="37" t="inlineStr">
        <is>
          <t>温暖な</t>
        </is>
      </c>
      <c r="N105" s="37" t="inlineStr">
        <is>
          <t>寄付する</t>
        </is>
      </c>
      <c r="O105" s="31" t="inlineStr"/>
      <c r="P105" s="38">
        <f>IF(ISBLANK(O105), "", IF(TRIM(UPPER(O105))=TRIM(UPPER(Q105)), "○ 正解", "× 不正解"))</f>
        <v/>
      </c>
      <c r="Q105" s="38" t="inlineStr">
        <is>
          <t>A</t>
        </is>
      </c>
      <c r="R105" s="39" t="inlineStr">
        <is>
          <t>最大の</t>
        </is>
      </c>
      <c r="S105" s="40" t="inlineStr">
        <is>
          <t>The factory is operating at maximum capacity.</t>
        </is>
      </c>
      <c r="T105" s="40" t="inlineStr">
        <is>
          <t>その工場は稼働能力限界で操業している。</t>
        </is>
      </c>
    </row>
  </sheetData>
  <mergeCells count="10">
    <mergeCell ref="A1:T1"/>
    <mergeCell ref="A2:B2"/>
    <mergeCell ref="C2:D2"/>
    <mergeCell ref="G2:H2"/>
    <mergeCell ref="E2:F2"/>
    <mergeCell ref="I2:T3"/>
    <mergeCell ref="C3:D3"/>
    <mergeCell ref="A3:B3"/>
    <mergeCell ref="G3:H3"/>
    <mergeCell ref="E3:F3"/>
  </mergeCells>
  <conditionalFormatting sqref="P6:P105">
    <cfRule type="cellIs" priority="1" operator="equal" dxfId="0" stopIfTrue="1">
      <formula>"○ 正解"</formula>
    </cfRule>
    <cfRule type="cellIs" priority="2" operator="equal" dxfId="1" stopIfTrue="1">
      <formula>"× 不正解"</formula>
    </cfRule>
  </conditionalFormatting>
  <dataValidations count="1">
    <dataValidation sqref="O6:O105" showDropDown="0" showInputMessage="0" showErrorMessage="0" allowBlank="1" errorTitle="入力エラー" error="AからJの英字を選択してください。" promptTitle="回答の選択" prompt="選択肢(A〜J)を選んでください" type="list">
      <formula1>"A,B,C,D,E,F,G,H,I,J"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105"/>
  <sheetViews>
    <sheetView showGridLines="1" workbookViewId="0">
      <pane xSplit="4" ySplit="5" topLeftCell="E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9" customWidth="1" min="2" max="2"/>
    <col width="16" customWidth="1" min="3" max="3"/>
    <col width="8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8" customWidth="1" min="15" max="15"/>
    <col width="12" customWidth="1" min="16" max="16"/>
    <col width="10" customWidth="1" min="17" max="17"/>
    <col width="18" customWidth="1" min="18" max="18"/>
    <col width="35" customWidth="1" min="19" max="19"/>
    <col width="35" customWidth="1" min="20" max="20"/>
  </cols>
  <sheetData>
    <row r="1" ht="34" customHeight="1">
      <c r="A1" s="14" t="inlineStr">
        <is>
          <t>TOEIC L&amp;R 100問10択クイズ 【日本語の意味 → 英単語】 (出題順: 401〜500)</t>
        </is>
      </c>
    </row>
    <row r="2" ht="20" customHeight="1">
      <c r="A2" s="15" t="inlineStr">
        <is>
          <t>回答数</t>
        </is>
      </c>
      <c r="C2" s="16" t="inlineStr">
        <is>
          <t>正解数</t>
        </is>
      </c>
      <c r="E2" s="17" t="inlineStr">
        <is>
          <t>不正解数</t>
        </is>
      </c>
      <c r="G2" s="18" t="inlineStr">
        <is>
          <t>正答率</t>
        </is>
      </c>
      <c r="I2" s="19" t="inlineStr">
        <is>
          <t>【使い方】出題の順番は単語番号順(401〜500)です。O列「あなたの回答」でドロップダウン(A〜J)を選択すると自動判定されます。
正解判定後に右側の解答・解説（Q〜T列）を確認して復習しましょう！</t>
        </is>
      </c>
    </row>
    <row r="3" ht="20" customHeight="1">
      <c r="A3" s="20">
        <f>COUNTA(O6:O105)</f>
        <v/>
      </c>
      <c r="C3" s="21">
        <f>COUNTIF(P6:P105, "○ 正解")</f>
        <v/>
      </c>
      <c r="E3" s="22">
        <f>COUNTIF(P6:P105, "× 不正解")</f>
        <v/>
      </c>
      <c r="G3" s="23">
        <f>IF(COUNTA(O6:O105)&gt;0, COUNTIF(P6:P105, "○ 正解")/COUNTA(O6:O105), 0)</f>
        <v/>
      </c>
    </row>
    <row r="4" ht="8" customHeight="1"/>
    <row r="5" ht="28" customHeight="1">
      <c r="A5" s="3" t="inlineStr">
        <is>
          <t>問</t>
        </is>
      </c>
      <c r="B5" s="3" t="inlineStr">
        <is>
          <t>単語No.</t>
        </is>
      </c>
      <c r="C5" s="3" t="inlineStr">
        <is>
          <t>出題 (日本語の意味)</t>
        </is>
      </c>
      <c r="D5" s="3" t="inlineStr">
        <is>
          <t>品詞</t>
        </is>
      </c>
      <c r="E5" s="24" t="inlineStr">
        <is>
          <t>選択肢 A</t>
        </is>
      </c>
      <c r="F5" s="24" t="inlineStr">
        <is>
          <t>選択肢 B</t>
        </is>
      </c>
      <c r="G5" s="24" t="inlineStr">
        <is>
          <t>選択肢 C</t>
        </is>
      </c>
      <c r="H5" s="24" t="inlineStr">
        <is>
          <t>選択肢 D</t>
        </is>
      </c>
      <c r="I5" s="24" t="inlineStr">
        <is>
          <t>選択肢 E</t>
        </is>
      </c>
      <c r="J5" s="24" t="inlineStr">
        <is>
          <t>選択肢 F</t>
        </is>
      </c>
      <c r="K5" s="24" t="inlineStr">
        <is>
          <t>選択肢 G</t>
        </is>
      </c>
      <c r="L5" s="24" t="inlineStr">
        <is>
          <t>選択肢 H</t>
        </is>
      </c>
      <c r="M5" s="24" t="inlineStr">
        <is>
          <t>選択肢 I</t>
        </is>
      </c>
      <c r="N5" s="24" t="inlineStr">
        <is>
          <t>選択肢 J</t>
        </is>
      </c>
      <c r="O5" s="25" t="inlineStr">
        <is>
          <t>あなたの回答 (A〜J)</t>
        </is>
      </c>
      <c r="P5" s="26" t="inlineStr">
        <is>
          <t>判定</t>
        </is>
      </c>
      <c r="Q5" s="27" t="inlineStr">
        <is>
          <t>正解記号</t>
        </is>
      </c>
      <c r="R5" s="27" t="inlineStr">
        <is>
          <t>正解の単語</t>
        </is>
      </c>
      <c r="S5" s="27" t="inlineStr">
        <is>
          <t>例文</t>
        </is>
      </c>
      <c r="T5" s="27" t="inlineStr">
        <is>
          <t>例文和訳</t>
        </is>
      </c>
    </row>
    <row r="6" ht="24" customHeight="1">
      <c r="A6" s="28" t="inlineStr">
        <is>
          <t>Q1</t>
        </is>
      </c>
      <c r="B6" s="9" t="n">
        <v>401</v>
      </c>
      <c r="C6" s="29" t="inlineStr">
        <is>
          <t>引き起こす</t>
        </is>
      </c>
      <c r="D6" s="28" t="inlineStr">
        <is>
          <t>動詞</t>
        </is>
      </c>
      <c r="E6" s="30" t="inlineStr">
        <is>
          <t>attitude</t>
        </is>
      </c>
      <c r="F6" s="30" t="inlineStr">
        <is>
          <t>physical</t>
        </is>
      </c>
      <c r="G6" s="30" t="inlineStr">
        <is>
          <t>expire</t>
        </is>
      </c>
      <c r="H6" s="30" t="inlineStr">
        <is>
          <t>cause</t>
        </is>
      </c>
      <c r="I6" s="30" t="inlineStr">
        <is>
          <t>prior to</t>
        </is>
      </c>
      <c r="J6" s="30" t="inlineStr">
        <is>
          <t>obtain</t>
        </is>
      </c>
      <c r="K6" s="30" t="inlineStr">
        <is>
          <t>factor</t>
        </is>
      </c>
      <c r="L6" s="30" t="inlineStr">
        <is>
          <t>qualified</t>
        </is>
      </c>
      <c r="M6" s="30" t="inlineStr">
        <is>
          <t>reputation</t>
        </is>
      </c>
      <c r="N6" s="30" t="inlineStr">
        <is>
          <t>mild</t>
        </is>
      </c>
      <c r="O6" s="31" t="inlineStr"/>
      <c r="P6" s="32">
        <f>IF(ISBLANK(O6), "", IF(TRIM(UPPER(O6))=TRIM(UPPER(Q6)), "○ 正解", "× 不正解"))</f>
        <v/>
      </c>
      <c r="Q6" s="32" t="inlineStr">
        <is>
          <t>D</t>
        </is>
      </c>
      <c r="R6" s="33" t="inlineStr">
        <is>
          <t>cause</t>
        </is>
      </c>
      <c r="S6" s="34" t="inlineStr">
        <is>
          <t>Heavy traffic is causing delays on Highway 18.</t>
        </is>
      </c>
      <c r="T6" s="34" t="inlineStr">
        <is>
          <t>18号線では交通渋滞により遅れが生じています。</t>
        </is>
      </c>
    </row>
    <row r="7" ht="24" customHeight="1">
      <c r="A7" s="35" t="inlineStr">
        <is>
          <t>Q2</t>
        </is>
      </c>
      <c r="B7" s="4" t="n">
        <v>402</v>
      </c>
      <c r="C7" s="36" t="inlineStr">
        <is>
          <t>10年</t>
        </is>
      </c>
      <c r="D7" s="35" t="inlineStr">
        <is>
          <t>名詞</t>
        </is>
      </c>
      <c r="E7" s="37" t="inlineStr">
        <is>
          <t>lack</t>
        </is>
      </c>
      <c r="F7" s="37" t="inlineStr">
        <is>
          <t>decade</t>
        </is>
      </c>
      <c r="G7" s="37" t="inlineStr">
        <is>
          <t>commute</t>
        </is>
      </c>
      <c r="H7" s="37" t="inlineStr">
        <is>
          <t>competitive</t>
        </is>
      </c>
      <c r="I7" s="37" t="inlineStr">
        <is>
          <t>particular</t>
        </is>
      </c>
      <c r="J7" s="37" t="inlineStr">
        <is>
          <t>association</t>
        </is>
      </c>
      <c r="K7" s="37" t="inlineStr">
        <is>
          <t>respectively</t>
        </is>
      </c>
      <c r="L7" s="37" t="inlineStr">
        <is>
          <t>physical</t>
        </is>
      </c>
      <c r="M7" s="37" t="inlineStr">
        <is>
          <t>remain</t>
        </is>
      </c>
      <c r="N7" s="37" t="inlineStr">
        <is>
          <t>aware</t>
        </is>
      </c>
      <c r="O7" s="31" t="inlineStr"/>
      <c r="P7" s="38">
        <f>IF(ISBLANK(O7), "", IF(TRIM(UPPER(O7))=TRIM(UPPER(Q7)), "○ 正解", "× 不正解"))</f>
        <v/>
      </c>
      <c r="Q7" s="38" t="inlineStr">
        <is>
          <t>B</t>
        </is>
      </c>
      <c r="R7" s="39" t="inlineStr">
        <is>
          <t>decade</t>
        </is>
      </c>
      <c r="S7" s="40" t="inlineStr">
        <is>
          <t>The city has changed over the last decade.</t>
        </is>
      </c>
      <c r="T7" s="40" t="inlineStr">
        <is>
          <t>その市はこの10年で変わった。</t>
        </is>
      </c>
    </row>
    <row r="8" ht="24" customHeight="1">
      <c r="A8" s="28" t="inlineStr">
        <is>
          <t>Q3</t>
        </is>
      </c>
      <c r="B8" s="9" t="n">
        <v>403</v>
      </c>
      <c r="C8" s="29" t="inlineStr">
        <is>
          <t>期限が切れる</t>
        </is>
      </c>
      <c r="D8" s="28" t="inlineStr">
        <is>
          <t>動詞</t>
        </is>
      </c>
      <c r="E8" s="30" t="inlineStr">
        <is>
          <t>expire</t>
        </is>
      </c>
      <c r="F8" s="30" t="inlineStr">
        <is>
          <t>upgrade</t>
        </is>
      </c>
      <c r="G8" s="30" t="inlineStr">
        <is>
          <t>necessary</t>
        </is>
      </c>
      <c r="H8" s="30" t="inlineStr">
        <is>
          <t>obtain</t>
        </is>
      </c>
      <c r="I8" s="30" t="inlineStr">
        <is>
          <t>seek</t>
        </is>
      </c>
      <c r="J8" s="30" t="inlineStr">
        <is>
          <t>divide</t>
        </is>
      </c>
      <c r="K8" s="30" t="inlineStr">
        <is>
          <t>probable</t>
        </is>
      </c>
      <c r="L8" s="30" t="inlineStr">
        <is>
          <t>association</t>
        </is>
      </c>
      <c r="M8" s="30" t="inlineStr">
        <is>
          <t>invoice</t>
        </is>
      </c>
      <c r="N8" s="30" t="inlineStr">
        <is>
          <t>laboratory</t>
        </is>
      </c>
      <c r="O8" s="31" t="inlineStr"/>
      <c r="P8" s="32">
        <f>IF(ISBLANK(O8), "", IF(TRIM(UPPER(O8))=TRIM(UPPER(Q8)), "○ 正解", "× 不正解"))</f>
        <v/>
      </c>
      <c r="Q8" s="32" t="inlineStr">
        <is>
          <t>A</t>
        </is>
      </c>
      <c r="R8" s="33" t="inlineStr">
        <is>
          <t>expire</t>
        </is>
      </c>
      <c r="S8" s="34" t="inlineStr">
        <is>
          <t>My passport has expired.</t>
        </is>
      </c>
      <c r="T8" s="34" t="inlineStr">
        <is>
          <t>私のパスポートは期限が切れた。</t>
        </is>
      </c>
    </row>
    <row r="9" ht="24" customHeight="1">
      <c r="A9" s="35" t="inlineStr">
        <is>
          <t>Q4</t>
        </is>
      </c>
      <c r="B9" s="4" t="n">
        <v>404</v>
      </c>
      <c r="C9" s="36" t="inlineStr">
        <is>
          <t>収入</t>
        </is>
      </c>
      <c r="D9" s="35" t="inlineStr">
        <is>
          <t>名詞</t>
        </is>
      </c>
      <c r="E9" s="37" t="inlineStr">
        <is>
          <t>mild</t>
        </is>
      </c>
      <c r="F9" s="37" t="inlineStr">
        <is>
          <t>assemble</t>
        </is>
      </c>
      <c r="G9" s="37" t="inlineStr">
        <is>
          <t>refuse</t>
        </is>
      </c>
      <c r="H9" s="37" t="inlineStr">
        <is>
          <t>income</t>
        </is>
      </c>
      <c r="I9" s="37" t="inlineStr">
        <is>
          <t>revise</t>
        </is>
      </c>
      <c r="J9" s="37" t="inlineStr">
        <is>
          <t>demonstrate</t>
        </is>
      </c>
      <c r="K9" s="37" t="inlineStr">
        <is>
          <t>step down</t>
        </is>
      </c>
      <c r="L9" s="37" t="inlineStr">
        <is>
          <t>retail</t>
        </is>
      </c>
      <c r="M9" s="37" t="inlineStr">
        <is>
          <t>prior to</t>
        </is>
      </c>
      <c r="N9" s="37" t="inlineStr">
        <is>
          <t>divide</t>
        </is>
      </c>
      <c r="O9" s="31" t="inlineStr"/>
      <c r="P9" s="38">
        <f>IF(ISBLANK(O9), "", IF(TRIM(UPPER(O9))=TRIM(UPPER(Q9)), "○ 正解", "× 不正解"))</f>
        <v/>
      </c>
      <c r="Q9" s="38" t="inlineStr">
        <is>
          <t>D</t>
        </is>
      </c>
      <c r="R9" s="39" t="inlineStr">
        <is>
          <t>income</t>
        </is>
      </c>
      <c r="S9" s="40" t="inlineStr">
        <is>
          <t>Tourism is the main source of income in the region.</t>
        </is>
      </c>
      <c r="T9" s="40" t="inlineStr">
        <is>
          <t>観光業はこの地域の主な収入源です。</t>
        </is>
      </c>
    </row>
    <row r="10" ht="24" customHeight="1">
      <c r="A10" s="28" t="inlineStr">
        <is>
          <t>Q5</t>
        </is>
      </c>
      <c r="B10" s="9" t="n">
        <v>405</v>
      </c>
      <c r="C10" s="29" t="inlineStr">
        <is>
          <t>早急な</t>
        </is>
      </c>
      <c r="D10" s="28" t="inlineStr">
        <is>
          <t>形容詞</t>
        </is>
      </c>
      <c r="E10" s="30" t="inlineStr">
        <is>
          <t>routine</t>
        </is>
      </c>
      <c r="F10" s="30" t="inlineStr">
        <is>
          <t>venue</t>
        </is>
      </c>
      <c r="G10" s="30" t="inlineStr">
        <is>
          <t>aware</t>
        </is>
      </c>
      <c r="H10" s="30" t="inlineStr">
        <is>
          <t>necessary</t>
        </is>
      </c>
      <c r="I10" s="30" t="inlineStr">
        <is>
          <t>point out</t>
        </is>
      </c>
      <c r="J10" s="30" t="inlineStr">
        <is>
          <t>laboratory</t>
        </is>
      </c>
      <c r="K10" s="30" t="inlineStr">
        <is>
          <t>upstairs</t>
        </is>
      </c>
      <c r="L10" s="30" t="inlineStr">
        <is>
          <t>restore</t>
        </is>
      </c>
      <c r="M10" s="30" t="inlineStr">
        <is>
          <t>technique</t>
        </is>
      </c>
      <c r="N10" s="30" t="inlineStr">
        <is>
          <t>immediate</t>
        </is>
      </c>
      <c r="O10" s="31" t="inlineStr"/>
      <c r="P10" s="32">
        <f>IF(ISBLANK(O10), "", IF(TRIM(UPPER(O10))=TRIM(UPPER(Q10)), "○ 正解", "× 不正解"))</f>
        <v/>
      </c>
      <c r="Q10" s="32" t="inlineStr">
        <is>
          <t>J</t>
        </is>
      </c>
      <c r="R10" s="33" t="inlineStr">
        <is>
          <t>immediate</t>
        </is>
      </c>
      <c r="S10" s="34" t="inlineStr">
        <is>
          <t>We need to take immediate action.</t>
        </is>
      </c>
      <c r="T10" s="34" t="inlineStr">
        <is>
          <t>私たちは早急な対応を取る必要があります。</t>
        </is>
      </c>
    </row>
    <row r="11" ht="24" customHeight="1">
      <c r="A11" s="35" t="inlineStr">
        <is>
          <t>Q6</t>
        </is>
      </c>
      <c r="B11" s="4" t="n">
        <v>406</v>
      </c>
      <c r="C11" s="36" t="inlineStr">
        <is>
          <t>アンケート</t>
        </is>
      </c>
      <c r="D11" s="35" t="inlineStr">
        <is>
          <t>名詞</t>
        </is>
      </c>
      <c r="E11" s="37" t="inlineStr">
        <is>
          <t>transfer</t>
        </is>
      </c>
      <c r="F11" s="37" t="inlineStr">
        <is>
          <t>income</t>
        </is>
      </c>
      <c r="G11" s="37" t="inlineStr">
        <is>
          <t>normally</t>
        </is>
      </c>
      <c r="H11" s="37" t="inlineStr">
        <is>
          <t>greet</t>
        </is>
      </c>
      <c r="I11" s="37" t="inlineStr">
        <is>
          <t>status</t>
        </is>
      </c>
      <c r="J11" s="37" t="inlineStr">
        <is>
          <t>update</t>
        </is>
      </c>
      <c r="K11" s="37" t="inlineStr">
        <is>
          <t>means</t>
        </is>
      </c>
      <c r="L11" s="37" t="inlineStr">
        <is>
          <t>upstairs</t>
        </is>
      </c>
      <c r="M11" s="37" t="inlineStr">
        <is>
          <t>maximum</t>
        </is>
      </c>
      <c r="N11" s="37" t="inlineStr">
        <is>
          <t>questionnaire</t>
        </is>
      </c>
      <c r="O11" s="31" t="inlineStr"/>
      <c r="P11" s="38">
        <f>IF(ISBLANK(O11), "", IF(TRIM(UPPER(O11))=TRIM(UPPER(Q11)), "○ 正解", "× 不正解"))</f>
        <v/>
      </c>
      <c r="Q11" s="38" t="inlineStr">
        <is>
          <t>J</t>
        </is>
      </c>
      <c r="R11" s="39" t="inlineStr">
        <is>
          <t>questionnaire</t>
        </is>
      </c>
      <c r="S11" s="40" t="inlineStr">
        <is>
          <t>Please complete the questionnaire after the seminar.</t>
        </is>
      </c>
      <c r="T11" s="40" t="inlineStr">
        <is>
          <t>セミナーのあと、アンケートにご記入ください。</t>
        </is>
      </c>
    </row>
    <row r="12" ht="24" customHeight="1">
      <c r="A12" s="28" t="inlineStr">
        <is>
          <t>Q7</t>
        </is>
      </c>
      <c r="B12" s="9" t="n">
        <v>407</v>
      </c>
      <c r="C12" s="29" t="inlineStr">
        <is>
          <t>習慣的に繰り返されること</t>
        </is>
      </c>
      <c r="D12" s="28" t="inlineStr">
        <is>
          <t>名詞</t>
        </is>
      </c>
      <c r="E12" s="30" t="inlineStr">
        <is>
          <t>aware</t>
        </is>
      </c>
      <c r="F12" s="30" t="inlineStr">
        <is>
          <t>accompany</t>
        </is>
      </c>
      <c r="G12" s="30" t="inlineStr">
        <is>
          <t>conversation</t>
        </is>
      </c>
      <c r="H12" s="30" t="inlineStr">
        <is>
          <t>transfer</t>
        </is>
      </c>
      <c r="I12" s="30" t="inlineStr">
        <is>
          <t>status</t>
        </is>
      </c>
      <c r="J12" s="30" t="inlineStr">
        <is>
          <t>necessary</t>
        </is>
      </c>
      <c r="K12" s="30" t="inlineStr">
        <is>
          <t>qualified</t>
        </is>
      </c>
      <c r="L12" s="30" t="inlineStr">
        <is>
          <t>questionnaire</t>
        </is>
      </c>
      <c r="M12" s="30" t="inlineStr">
        <is>
          <t>cancel</t>
        </is>
      </c>
      <c r="N12" s="30" t="inlineStr">
        <is>
          <t>routine</t>
        </is>
      </c>
      <c r="O12" s="31" t="inlineStr"/>
      <c r="P12" s="32">
        <f>IF(ISBLANK(O12), "", IF(TRIM(UPPER(O12))=TRIM(UPPER(Q12)), "○ 正解", "× 不正解"))</f>
        <v/>
      </c>
      <c r="Q12" s="32" t="inlineStr">
        <is>
          <t>J</t>
        </is>
      </c>
      <c r="R12" s="33" t="inlineStr">
        <is>
          <t>routine</t>
        </is>
      </c>
      <c r="S12" s="34" t="inlineStr">
        <is>
          <t>Exercise is part of my daily routine.</t>
        </is>
      </c>
      <c r="T12" s="34" t="inlineStr">
        <is>
          <t>運動は私の日課の一部です。</t>
        </is>
      </c>
    </row>
    <row r="13" ht="24" customHeight="1">
      <c r="A13" s="35" t="inlineStr">
        <is>
          <t>Q8</t>
        </is>
      </c>
      <c r="B13" s="4" t="n">
        <v>408</v>
      </c>
      <c r="C13" s="36" t="inlineStr">
        <is>
          <t>転勤する</t>
        </is>
      </c>
      <c r="D13" s="35" t="inlineStr">
        <is>
          <t>動詞</t>
        </is>
      </c>
      <c r="E13" s="37" t="inlineStr">
        <is>
          <t>temporary</t>
        </is>
      </c>
      <c r="F13" s="37" t="inlineStr">
        <is>
          <t>polite</t>
        </is>
      </c>
      <c r="G13" s="37" t="inlineStr">
        <is>
          <t>familiar</t>
        </is>
      </c>
      <c r="H13" s="37" t="inlineStr">
        <is>
          <t>expert</t>
        </is>
      </c>
      <c r="I13" s="37" t="inlineStr">
        <is>
          <t>demonstrate</t>
        </is>
      </c>
      <c r="J13" s="37" t="inlineStr">
        <is>
          <t>accompany</t>
        </is>
      </c>
      <c r="K13" s="37" t="inlineStr">
        <is>
          <t>process</t>
        </is>
      </c>
      <c r="L13" s="37" t="inlineStr">
        <is>
          <t>mild</t>
        </is>
      </c>
      <c r="M13" s="37" t="inlineStr">
        <is>
          <t>subscribe</t>
        </is>
      </c>
      <c r="N13" s="37" t="inlineStr">
        <is>
          <t>transfer</t>
        </is>
      </c>
      <c r="O13" s="31" t="inlineStr"/>
      <c r="P13" s="38">
        <f>IF(ISBLANK(O13), "", IF(TRIM(UPPER(O13))=TRIM(UPPER(Q13)), "○ 正解", "× 不正解"))</f>
        <v/>
      </c>
      <c r="Q13" s="38" t="inlineStr">
        <is>
          <t>J</t>
        </is>
      </c>
      <c r="R13" s="39" t="inlineStr">
        <is>
          <t>transfer</t>
        </is>
      </c>
      <c r="S13" s="40" t="inlineStr">
        <is>
          <t>Mr. Chen transferred from Taipei to Bangkok.</t>
        </is>
      </c>
      <c r="T13" s="40" t="inlineStr">
        <is>
          <t>チェンさんは台北からバンコクへ転勤した。</t>
        </is>
      </c>
    </row>
    <row r="14" ht="24" customHeight="1">
      <c r="A14" s="28" t="inlineStr">
        <is>
          <t>Q9</t>
        </is>
      </c>
      <c r="B14" s="9" t="n">
        <v>409</v>
      </c>
      <c r="C14" s="29" t="inlineStr">
        <is>
          <t>複雑な</t>
        </is>
      </c>
      <c r="D14" s="28" t="inlineStr">
        <is>
          <t>形容詞</t>
        </is>
      </c>
      <c r="E14" s="30" t="inlineStr">
        <is>
          <t>chemical</t>
        </is>
      </c>
      <c r="F14" s="30" t="inlineStr">
        <is>
          <t>transfer</t>
        </is>
      </c>
      <c r="G14" s="30" t="inlineStr">
        <is>
          <t>broad</t>
        </is>
      </c>
      <c r="H14" s="30" t="inlineStr">
        <is>
          <t>reputation</t>
        </is>
      </c>
      <c r="I14" s="30" t="inlineStr">
        <is>
          <t>complicated</t>
        </is>
      </c>
      <c r="J14" s="30" t="inlineStr">
        <is>
          <t>attach</t>
        </is>
      </c>
      <c r="K14" s="30" t="inlineStr">
        <is>
          <t>upstairs</t>
        </is>
      </c>
      <c r="L14" s="30" t="inlineStr">
        <is>
          <t>normally</t>
        </is>
      </c>
      <c r="M14" s="30" t="inlineStr">
        <is>
          <t>mild</t>
        </is>
      </c>
      <c r="N14" s="30" t="inlineStr">
        <is>
          <t>step down</t>
        </is>
      </c>
      <c r="O14" s="31" t="inlineStr"/>
      <c r="P14" s="32">
        <f>IF(ISBLANK(O14), "", IF(TRIM(UPPER(O14))=TRIM(UPPER(Q14)), "○ 正解", "× 不正解"))</f>
        <v/>
      </c>
      <c r="Q14" s="32" t="inlineStr">
        <is>
          <t>E</t>
        </is>
      </c>
      <c r="R14" s="33" t="inlineStr">
        <is>
          <t>complicated</t>
        </is>
      </c>
      <c r="S14" s="34" t="inlineStr">
        <is>
          <t>Our evaluation system is very complicated.</t>
        </is>
      </c>
      <c r="T14" s="34" t="inlineStr">
        <is>
          <t>当社の評価システムはとても複雑です。</t>
        </is>
      </c>
    </row>
    <row r="15" ht="24" customHeight="1">
      <c r="A15" s="35" t="inlineStr">
        <is>
          <t>Q10</t>
        </is>
      </c>
      <c r="B15" s="4" t="n">
        <v>410</v>
      </c>
      <c r="C15" s="36" t="inlineStr">
        <is>
          <t>教育</t>
        </is>
      </c>
      <c r="D15" s="35" t="inlineStr">
        <is>
          <t>名詞</t>
        </is>
      </c>
      <c r="E15" s="37" t="inlineStr">
        <is>
          <t>prior to</t>
        </is>
      </c>
      <c r="F15" s="37" t="inlineStr">
        <is>
          <t>expense</t>
        </is>
      </c>
      <c r="G15" s="37" t="inlineStr">
        <is>
          <t>compared with</t>
        </is>
      </c>
      <c r="H15" s="37" t="inlineStr">
        <is>
          <t>divide</t>
        </is>
      </c>
      <c r="I15" s="37" t="inlineStr">
        <is>
          <t>property</t>
        </is>
      </c>
      <c r="J15" s="37" t="inlineStr">
        <is>
          <t>education</t>
        </is>
      </c>
      <c r="K15" s="37" t="inlineStr">
        <is>
          <t>establish</t>
        </is>
      </c>
      <c r="L15" s="37" t="inlineStr">
        <is>
          <t>immediate</t>
        </is>
      </c>
      <c r="M15" s="37" t="inlineStr">
        <is>
          <t>association</t>
        </is>
      </c>
      <c r="N15" s="37" t="inlineStr">
        <is>
          <t>expert</t>
        </is>
      </c>
      <c r="O15" s="31" t="inlineStr"/>
      <c r="P15" s="38">
        <f>IF(ISBLANK(O15), "", IF(TRIM(UPPER(O15))=TRIM(UPPER(Q15)), "○ 正解", "× 不正解"))</f>
        <v/>
      </c>
      <c r="Q15" s="38" t="inlineStr">
        <is>
          <t>F</t>
        </is>
      </c>
      <c r="R15" s="39" t="inlineStr">
        <is>
          <t>education</t>
        </is>
      </c>
      <c r="S15" s="40" t="inlineStr">
        <is>
          <t>The government has increased spending on education.</t>
        </is>
      </c>
      <c r="T15" s="40" t="inlineStr">
        <is>
          <t>政府は教育の支出を増やした。</t>
        </is>
      </c>
    </row>
    <row r="16" ht="24" customHeight="1">
      <c r="A16" s="28" t="inlineStr">
        <is>
          <t>Q11</t>
        </is>
      </c>
      <c r="B16" s="9" t="n">
        <v>411</v>
      </c>
      <c r="C16" s="29" t="inlineStr">
        <is>
          <t>出迎える</t>
        </is>
      </c>
      <c r="D16" s="28" t="inlineStr">
        <is>
          <t>動詞</t>
        </is>
      </c>
      <c r="E16" s="30" t="inlineStr">
        <is>
          <t>resign</t>
        </is>
      </c>
      <c r="F16" s="30" t="inlineStr">
        <is>
          <t>transfer</t>
        </is>
      </c>
      <c r="G16" s="30" t="inlineStr">
        <is>
          <t>economical</t>
        </is>
      </c>
      <c r="H16" s="30" t="inlineStr">
        <is>
          <t>greet</t>
        </is>
      </c>
      <c r="I16" s="30" t="inlineStr">
        <is>
          <t>immediate</t>
        </is>
      </c>
      <c r="J16" s="30" t="inlineStr">
        <is>
          <t>point out</t>
        </is>
      </c>
      <c r="K16" s="30" t="inlineStr">
        <is>
          <t>fine</t>
        </is>
      </c>
      <c r="L16" s="30" t="inlineStr">
        <is>
          <t>physical</t>
        </is>
      </c>
      <c r="M16" s="30" t="inlineStr">
        <is>
          <t>polite</t>
        </is>
      </c>
      <c r="N16" s="30" t="inlineStr">
        <is>
          <t>probable</t>
        </is>
      </c>
      <c r="O16" s="31" t="inlineStr"/>
      <c r="P16" s="32">
        <f>IF(ISBLANK(O16), "", IF(TRIM(UPPER(O16))=TRIM(UPPER(Q16)), "○ 正解", "× 不正解"))</f>
        <v/>
      </c>
      <c r="Q16" s="32" t="inlineStr">
        <is>
          <t>D</t>
        </is>
      </c>
      <c r="R16" s="33" t="inlineStr">
        <is>
          <t>greet</t>
        </is>
      </c>
      <c r="S16" s="34" t="inlineStr">
        <is>
          <t>The manager greeted us with a smile.</t>
        </is>
      </c>
      <c r="T16" s="34" t="inlineStr">
        <is>
          <t>マネージャーは私たちを笑顔で出迎えてくれた。</t>
        </is>
      </c>
    </row>
    <row r="17" ht="24" customHeight="1">
      <c r="A17" s="35" t="inlineStr">
        <is>
          <t>Q12</t>
        </is>
      </c>
      <c r="B17" s="4" t="n">
        <v>412</v>
      </c>
      <c r="C17" s="36" t="inlineStr">
        <is>
          <t>影響力</t>
        </is>
      </c>
      <c r="D17" s="35" t="inlineStr">
        <is>
          <t>名詞</t>
        </is>
      </c>
      <c r="E17" s="37" t="inlineStr">
        <is>
          <t>property</t>
        </is>
      </c>
      <c r="F17" s="37" t="inlineStr">
        <is>
          <t>necessary</t>
        </is>
      </c>
      <c r="G17" s="37" t="inlineStr">
        <is>
          <t>contain</t>
        </is>
      </c>
      <c r="H17" s="37" t="inlineStr">
        <is>
          <t>pour</t>
        </is>
      </c>
      <c r="I17" s="37" t="inlineStr">
        <is>
          <t>lack</t>
        </is>
      </c>
      <c r="J17" s="37" t="inlineStr">
        <is>
          <t>step down</t>
        </is>
      </c>
      <c r="K17" s="37" t="inlineStr">
        <is>
          <t>prior to</t>
        </is>
      </c>
      <c r="L17" s="37" t="inlineStr">
        <is>
          <t>influence</t>
        </is>
      </c>
      <c r="M17" s="37" t="inlineStr">
        <is>
          <t>relocate</t>
        </is>
      </c>
      <c r="N17" s="37" t="inlineStr">
        <is>
          <t>accompany</t>
        </is>
      </c>
      <c r="O17" s="31" t="inlineStr"/>
      <c r="P17" s="38">
        <f>IF(ISBLANK(O17), "", IF(TRIM(UPPER(O17))=TRIM(UPPER(Q17)), "○ 正解", "× 不正解"))</f>
        <v/>
      </c>
      <c r="Q17" s="38" t="inlineStr">
        <is>
          <t>H</t>
        </is>
      </c>
      <c r="R17" s="39" t="inlineStr">
        <is>
          <t>influence</t>
        </is>
      </c>
      <c r="S17" s="40" t="inlineStr">
        <is>
          <t>The former president still has influence over the company.</t>
        </is>
      </c>
      <c r="T17" s="40" t="inlineStr">
        <is>
          <t>元社長はまだ、会社に影響力を持っている。</t>
        </is>
      </c>
    </row>
    <row r="18" ht="24" customHeight="1">
      <c r="A18" s="28" t="inlineStr">
        <is>
          <t>Q13</t>
        </is>
      </c>
      <c r="B18" s="9" t="n">
        <v>413</v>
      </c>
      <c r="C18" s="29" t="inlineStr">
        <is>
          <t>不足</t>
        </is>
      </c>
      <c r="D18" s="28" t="inlineStr">
        <is>
          <t>名詞</t>
        </is>
      </c>
      <c r="E18" s="30" t="inlineStr">
        <is>
          <t>restore</t>
        </is>
      </c>
      <c r="F18" s="30" t="inlineStr">
        <is>
          <t>obtain</t>
        </is>
      </c>
      <c r="G18" s="30" t="inlineStr">
        <is>
          <t>respectively</t>
        </is>
      </c>
      <c r="H18" s="30" t="inlineStr">
        <is>
          <t>particular</t>
        </is>
      </c>
      <c r="I18" s="30" t="inlineStr">
        <is>
          <t>lack</t>
        </is>
      </c>
      <c r="J18" s="30" t="inlineStr">
        <is>
          <t>invoice</t>
        </is>
      </c>
      <c r="K18" s="30" t="inlineStr">
        <is>
          <t>consider</t>
        </is>
      </c>
      <c r="L18" s="30" t="inlineStr">
        <is>
          <t>upgrade</t>
        </is>
      </c>
      <c r="M18" s="30" t="inlineStr">
        <is>
          <t>upstairs</t>
        </is>
      </c>
      <c r="N18" s="30" t="inlineStr">
        <is>
          <t>revise</t>
        </is>
      </c>
      <c r="O18" s="31" t="inlineStr"/>
      <c r="P18" s="32">
        <f>IF(ISBLANK(O18), "", IF(TRIM(UPPER(O18))=TRIM(UPPER(Q18)), "○ 正解", "× 不正解"))</f>
        <v/>
      </c>
      <c r="Q18" s="32" t="inlineStr">
        <is>
          <t>E</t>
        </is>
      </c>
      <c r="R18" s="33" t="inlineStr">
        <is>
          <t>lack</t>
        </is>
      </c>
      <c r="S18" s="34" t="inlineStr">
        <is>
          <t>The project was canceled due to a lack of funds.</t>
        </is>
      </c>
      <c r="T18" s="34" t="inlineStr">
        <is>
          <t>資金不足のため、そのプロジェクトは中止になった。</t>
        </is>
      </c>
    </row>
    <row r="19" ht="24" customHeight="1">
      <c r="A19" s="35" t="inlineStr">
        <is>
          <t>Q14</t>
        </is>
      </c>
      <c r="B19" s="4" t="n">
        <v>414</v>
      </c>
      <c r="C19" s="36" t="inlineStr">
        <is>
          <t>温暖な</t>
        </is>
      </c>
      <c r="D19" s="35" t="inlineStr">
        <is>
          <t>形容詞</t>
        </is>
      </c>
      <c r="E19" s="37" t="inlineStr">
        <is>
          <t>normally</t>
        </is>
      </c>
      <c r="F19" s="37" t="inlineStr">
        <is>
          <t>comment</t>
        </is>
      </c>
      <c r="G19" s="37" t="inlineStr">
        <is>
          <t>mild</t>
        </is>
      </c>
      <c r="H19" s="37" t="inlineStr">
        <is>
          <t>status</t>
        </is>
      </c>
      <c r="I19" s="37" t="inlineStr">
        <is>
          <t>resign</t>
        </is>
      </c>
      <c r="J19" s="37" t="inlineStr">
        <is>
          <t>subscribe</t>
        </is>
      </c>
      <c r="K19" s="37" t="inlineStr">
        <is>
          <t>refuse</t>
        </is>
      </c>
      <c r="L19" s="37" t="inlineStr">
        <is>
          <t>focus</t>
        </is>
      </c>
      <c r="M19" s="37" t="inlineStr">
        <is>
          <t>executive</t>
        </is>
      </c>
      <c r="N19" s="37" t="inlineStr">
        <is>
          <t>regarding</t>
        </is>
      </c>
      <c r="O19" s="31" t="inlineStr"/>
      <c r="P19" s="38">
        <f>IF(ISBLANK(O19), "", IF(TRIM(UPPER(O19))=TRIM(UPPER(Q19)), "○ 正解", "× 不正解"))</f>
        <v/>
      </c>
      <c r="Q19" s="38" t="inlineStr">
        <is>
          <t>C</t>
        </is>
      </c>
      <c r="R19" s="39" t="inlineStr">
        <is>
          <t>mild</t>
        </is>
      </c>
      <c r="S19" s="40" t="inlineStr">
        <is>
          <t>We had a mild winter this year.</t>
        </is>
      </c>
      <c r="T19" s="40" t="inlineStr">
        <is>
          <t>今年は暖冬だった。</t>
        </is>
      </c>
    </row>
    <row r="20" ht="24" customHeight="1">
      <c r="A20" s="28" t="inlineStr">
        <is>
          <t>Q15</t>
        </is>
      </c>
      <c r="B20" s="9" t="n">
        <v>415</v>
      </c>
      <c r="C20" s="29" t="inlineStr">
        <is>
          <t>普通は</t>
        </is>
      </c>
      <c r="D20" s="28" t="inlineStr">
        <is>
          <t>副詞</t>
        </is>
      </c>
      <c r="E20" s="30" t="inlineStr">
        <is>
          <t>resign</t>
        </is>
      </c>
      <c r="F20" s="30" t="inlineStr">
        <is>
          <t>status</t>
        </is>
      </c>
      <c r="G20" s="30" t="inlineStr">
        <is>
          <t>convince</t>
        </is>
      </c>
      <c r="H20" s="30" t="inlineStr">
        <is>
          <t>income</t>
        </is>
      </c>
      <c r="I20" s="30" t="inlineStr">
        <is>
          <t>laboratory</t>
        </is>
      </c>
      <c r="J20" s="30" t="inlineStr">
        <is>
          <t>refuse</t>
        </is>
      </c>
      <c r="K20" s="30" t="inlineStr">
        <is>
          <t>instant</t>
        </is>
      </c>
      <c r="L20" s="30" t="inlineStr">
        <is>
          <t>necessary</t>
        </is>
      </c>
      <c r="M20" s="30" t="inlineStr">
        <is>
          <t>physical</t>
        </is>
      </c>
      <c r="N20" s="30" t="inlineStr">
        <is>
          <t>normally</t>
        </is>
      </c>
      <c r="O20" s="31" t="inlineStr"/>
      <c r="P20" s="32">
        <f>IF(ISBLANK(O20), "", IF(TRIM(UPPER(O20))=TRIM(UPPER(Q20)), "○ 正解", "× 不正解"))</f>
        <v/>
      </c>
      <c r="Q20" s="32" t="inlineStr">
        <is>
          <t>J</t>
        </is>
      </c>
      <c r="R20" s="33" t="inlineStr">
        <is>
          <t>normally</t>
        </is>
      </c>
      <c r="S20" s="34" t="inlineStr">
        <is>
          <t>I normally work forty hours a week.</t>
        </is>
      </c>
      <c r="T20" s="34" t="inlineStr">
        <is>
          <t>私は普段、週に40時間働いています。</t>
        </is>
      </c>
    </row>
    <row r="21" ht="24" customHeight="1">
      <c r="A21" s="35" t="inlineStr">
        <is>
          <t>Q16</t>
        </is>
      </c>
      <c r="B21" s="4" t="n">
        <v>416</v>
      </c>
      <c r="C21" s="36" t="inlineStr">
        <is>
          <t>身体の</t>
        </is>
      </c>
      <c r="D21" s="35" t="inlineStr">
        <is>
          <t>形容詞</t>
        </is>
      </c>
      <c r="E21" s="37" t="inlineStr">
        <is>
          <t>physical</t>
        </is>
      </c>
      <c r="F21" s="37" t="inlineStr">
        <is>
          <t>commute</t>
        </is>
      </c>
      <c r="G21" s="37" t="inlineStr">
        <is>
          <t>particular</t>
        </is>
      </c>
      <c r="H21" s="37" t="inlineStr">
        <is>
          <t>step down</t>
        </is>
      </c>
      <c r="I21" s="37" t="inlineStr">
        <is>
          <t>invoice</t>
        </is>
      </c>
      <c r="J21" s="37" t="inlineStr">
        <is>
          <t>complicated</t>
        </is>
      </c>
      <c r="K21" s="37" t="inlineStr">
        <is>
          <t>aware</t>
        </is>
      </c>
      <c r="L21" s="37" t="inlineStr">
        <is>
          <t>influence</t>
        </is>
      </c>
      <c r="M21" s="37" t="inlineStr">
        <is>
          <t>update</t>
        </is>
      </c>
      <c r="N21" s="37" t="inlineStr">
        <is>
          <t>greet</t>
        </is>
      </c>
      <c r="O21" s="31" t="inlineStr"/>
      <c r="P21" s="38">
        <f>IF(ISBLANK(O21), "", IF(TRIM(UPPER(O21))=TRIM(UPPER(Q21)), "○ 正解", "× 不正解"))</f>
        <v/>
      </c>
      <c r="Q21" s="38" t="inlineStr">
        <is>
          <t>A</t>
        </is>
      </c>
      <c r="R21" s="39" t="inlineStr">
        <is>
          <t>physical</t>
        </is>
      </c>
      <c r="S21" s="40" t="inlineStr">
        <is>
          <t>I need to do physical exercise regularly.</t>
        </is>
      </c>
      <c r="T21" s="40" t="inlineStr">
        <is>
          <t>私は定期的に身体的な運動をする必要がある。</t>
        </is>
      </c>
    </row>
    <row r="22" ht="24" customHeight="1">
      <c r="A22" s="28" t="inlineStr">
        <is>
          <t>Q17</t>
        </is>
      </c>
      <c r="B22" s="9" t="n">
        <v>417</v>
      </c>
      <c r="C22" s="29" t="inlineStr">
        <is>
          <t>礼儀正しい</t>
        </is>
      </c>
      <c r="D22" s="28" t="inlineStr">
        <is>
          <t>形容詞</t>
        </is>
      </c>
      <c r="E22" s="30" t="inlineStr">
        <is>
          <t>instant</t>
        </is>
      </c>
      <c r="F22" s="30" t="inlineStr">
        <is>
          <t>necessary</t>
        </is>
      </c>
      <c r="G22" s="30" t="inlineStr">
        <is>
          <t>step down</t>
        </is>
      </c>
      <c r="H22" s="30" t="inlineStr">
        <is>
          <t>physical</t>
        </is>
      </c>
      <c r="I22" s="30" t="inlineStr">
        <is>
          <t>polite</t>
        </is>
      </c>
      <c r="J22" s="30" t="inlineStr">
        <is>
          <t>property</t>
        </is>
      </c>
      <c r="K22" s="30" t="inlineStr">
        <is>
          <t>trust</t>
        </is>
      </c>
      <c r="L22" s="30" t="inlineStr">
        <is>
          <t>demonstrate</t>
        </is>
      </c>
      <c r="M22" s="30" t="inlineStr">
        <is>
          <t>prior to</t>
        </is>
      </c>
      <c r="N22" s="30" t="inlineStr">
        <is>
          <t>technique</t>
        </is>
      </c>
      <c r="O22" s="31" t="inlineStr"/>
      <c r="P22" s="32">
        <f>IF(ISBLANK(O22), "", IF(TRIM(UPPER(O22))=TRIM(UPPER(Q22)), "○ 正解", "× 不正解"))</f>
        <v/>
      </c>
      <c r="Q22" s="32" t="inlineStr">
        <is>
          <t>E</t>
        </is>
      </c>
      <c r="R22" s="33" t="inlineStr">
        <is>
          <t>polite</t>
        </is>
      </c>
      <c r="S22" s="34" t="inlineStr">
        <is>
          <t>The hotel clerk was polite and helpful.</t>
        </is>
      </c>
      <c r="T22" s="34" t="inlineStr">
        <is>
          <t>そのホテル従業員は礼儀正しく、親切だった。</t>
        </is>
      </c>
    </row>
    <row r="23" ht="24" customHeight="1">
      <c r="A23" s="35" t="inlineStr">
        <is>
          <t>Q18</t>
        </is>
      </c>
      <c r="B23" s="4" t="n">
        <v>418</v>
      </c>
      <c r="C23" s="36" t="inlineStr">
        <is>
          <t>人口</t>
        </is>
      </c>
      <c r="D23" s="35" t="inlineStr">
        <is>
          <t>名詞</t>
        </is>
      </c>
      <c r="E23" s="37" t="inlineStr">
        <is>
          <t>decade</t>
        </is>
      </c>
      <c r="F23" s="37" t="inlineStr">
        <is>
          <t>contribute</t>
        </is>
      </c>
      <c r="G23" s="37" t="inlineStr">
        <is>
          <t>seek</t>
        </is>
      </c>
      <c r="H23" s="37" t="inlineStr">
        <is>
          <t>population</t>
        </is>
      </c>
      <c r="I23" s="37" t="inlineStr">
        <is>
          <t>technique</t>
        </is>
      </c>
      <c r="J23" s="37" t="inlineStr">
        <is>
          <t>probable</t>
        </is>
      </c>
      <c r="K23" s="37" t="inlineStr">
        <is>
          <t>particular</t>
        </is>
      </c>
      <c r="L23" s="37" t="inlineStr">
        <is>
          <t>trust</t>
        </is>
      </c>
      <c r="M23" s="37" t="inlineStr">
        <is>
          <t>polite</t>
        </is>
      </c>
      <c r="N23" s="37" t="inlineStr">
        <is>
          <t>status</t>
        </is>
      </c>
      <c r="O23" s="31" t="inlineStr"/>
      <c r="P23" s="38">
        <f>IF(ISBLANK(O23), "", IF(TRIM(UPPER(O23))=TRIM(UPPER(Q23)), "○ 正解", "× 不正解"))</f>
        <v/>
      </c>
      <c r="Q23" s="38" t="inlineStr">
        <is>
          <t>D</t>
        </is>
      </c>
      <c r="R23" s="39" t="inlineStr">
        <is>
          <t>population</t>
        </is>
      </c>
      <c r="S23" s="40" t="inlineStr">
        <is>
          <t>What is the population of India?</t>
        </is>
      </c>
      <c r="T23" s="40" t="inlineStr">
        <is>
          <t>インドの人口はどのくらいですか。</t>
        </is>
      </c>
    </row>
    <row r="24" ht="24" customHeight="1">
      <c r="A24" s="28" t="inlineStr">
        <is>
          <t>Q19</t>
        </is>
      </c>
      <c r="B24" s="9" t="n">
        <v>419</v>
      </c>
      <c r="C24" s="29" t="inlineStr">
        <is>
          <t>注ぐ</t>
        </is>
      </c>
      <c r="D24" s="28" t="inlineStr">
        <is>
          <t>動詞</t>
        </is>
      </c>
      <c r="E24" s="30" t="inlineStr">
        <is>
          <t>invoice</t>
        </is>
      </c>
      <c r="F24" s="30" t="inlineStr">
        <is>
          <t>exchange</t>
        </is>
      </c>
      <c r="G24" s="30" t="inlineStr">
        <is>
          <t>compared with</t>
        </is>
      </c>
      <c r="H24" s="30" t="inlineStr">
        <is>
          <t>relaxed</t>
        </is>
      </c>
      <c r="I24" s="30" t="inlineStr">
        <is>
          <t>attach</t>
        </is>
      </c>
      <c r="J24" s="30" t="inlineStr">
        <is>
          <t>convince</t>
        </is>
      </c>
      <c r="K24" s="30" t="inlineStr">
        <is>
          <t>pour</t>
        </is>
      </c>
      <c r="L24" s="30" t="inlineStr">
        <is>
          <t>extension</t>
        </is>
      </c>
      <c r="M24" s="30" t="inlineStr">
        <is>
          <t>obtain</t>
        </is>
      </c>
      <c r="N24" s="30" t="inlineStr">
        <is>
          <t>trust</t>
        </is>
      </c>
      <c r="O24" s="31" t="inlineStr"/>
      <c r="P24" s="32">
        <f>IF(ISBLANK(O24), "", IF(TRIM(UPPER(O24))=TRIM(UPPER(Q24)), "○ 正解", "× 不正解"))</f>
        <v/>
      </c>
      <c r="Q24" s="32" t="inlineStr">
        <is>
          <t>G</t>
        </is>
      </c>
      <c r="R24" s="33" t="inlineStr">
        <is>
          <t>pour</t>
        </is>
      </c>
      <c r="S24" s="34" t="inlineStr">
        <is>
          <t>She's pouring coffee into a cup.</t>
        </is>
      </c>
      <c r="T24" s="34" t="inlineStr">
        <is>
          <t>彼女はコーヒーをカップに注いでいる。</t>
        </is>
      </c>
    </row>
    <row r="25" ht="24" customHeight="1">
      <c r="A25" s="35" t="inlineStr">
        <is>
          <t>Q20</t>
        </is>
      </c>
      <c r="B25" s="4" t="n">
        <v>420</v>
      </c>
      <c r="C25" s="36" t="inlineStr">
        <is>
          <t>すぐの</t>
        </is>
      </c>
      <c r="D25" s="35" t="inlineStr">
        <is>
          <t>形容詞</t>
        </is>
      </c>
      <c r="E25" s="37" t="inlineStr">
        <is>
          <t>relaxed</t>
        </is>
      </c>
      <c r="F25" s="37" t="inlineStr">
        <is>
          <t>accompany</t>
        </is>
      </c>
      <c r="G25" s="37" t="inlineStr">
        <is>
          <t>seek</t>
        </is>
      </c>
      <c r="H25" s="37" t="inlineStr">
        <is>
          <t>instant</t>
        </is>
      </c>
      <c r="I25" s="37" t="inlineStr">
        <is>
          <t>consider</t>
        </is>
      </c>
      <c r="J25" s="37" t="inlineStr">
        <is>
          <t>population</t>
        </is>
      </c>
      <c r="K25" s="37" t="inlineStr">
        <is>
          <t>expire</t>
        </is>
      </c>
      <c r="L25" s="37" t="inlineStr">
        <is>
          <t>aware</t>
        </is>
      </c>
      <c r="M25" s="37" t="inlineStr">
        <is>
          <t>economical</t>
        </is>
      </c>
      <c r="N25" s="37" t="inlineStr">
        <is>
          <t>manner</t>
        </is>
      </c>
      <c r="O25" s="31" t="inlineStr"/>
      <c r="P25" s="38">
        <f>IF(ISBLANK(O25), "", IF(TRIM(UPPER(O25))=TRIM(UPPER(Q25)), "○ 正解", "× 不正解"))</f>
        <v/>
      </c>
      <c r="Q25" s="38" t="inlineStr">
        <is>
          <t>D</t>
        </is>
      </c>
      <c r="R25" s="39" t="inlineStr">
        <is>
          <t>instant</t>
        </is>
      </c>
      <c r="S25" s="40" t="inlineStr">
        <is>
          <t>The book was an instant success in California.</t>
        </is>
      </c>
      <c r="T25" s="40" t="inlineStr">
        <is>
          <t>その本はカリフォルニアで即座の成功を収めた。</t>
        </is>
      </c>
    </row>
    <row r="26" ht="24" customHeight="1">
      <c r="A26" s="28" t="inlineStr">
        <is>
          <t>Q21</t>
        </is>
      </c>
      <c r="B26" s="9" t="n">
        <v>421</v>
      </c>
      <c r="C26" s="29" t="inlineStr">
        <is>
          <t>会場</t>
        </is>
      </c>
      <c r="D26" s="28" t="inlineStr">
        <is>
          <t>名詞</t>
        </is>
      </c>
      <c r="E26" s="30" t="inlineStr">
        <is>
          <t>seek</t>
        </is>
      </c>
      <c r="F26" s="30" t="inlineStr">
        <is>
          <t>means</t>
        </is>
      </c>
      <c r="G26" s="30" t="inlineStr">
        <is>
          <t>cancel</t>
        </is>
      </c>
      <c r="H26" s="30" t="inlineStr">
        <is>
          <t>subscribe</t>
        </is>
      </c>
      <c r="I26" s="30" t="inlineStr">
        <is>
          <t>process</t>
        </is>
      </c>
      <c r="J26" s="30" t="inlineStr">
        <is>
          <t>probable</t>
        </is>
      </c>
      <c r="K26" s="30" t="inlineStr">
        <is>
          <t>property</t>
        </is>
      </c>
      <c r="L26" s="30" t="inlineStr">
        <is>
          <t>venue</t>
        </is>
      </c>
      <c r="M26" s="30" t="inlineStr">
        <is>
          <t>broad</t>
        </is>
      </c>
      <c r="N26" s="30" t="inlineStr">
        <is>
          <t>mild</t>
        </is>
      </c>
      <c r="O26" s="31" t="inlineStr"/>
      <c r="P26" s="32">
        <f>IF(ISBLANK(O26), "", IF(TRIM(UPPER(O26))=TRIM(UPPER(Q26)), "○ 正解", "× 不正解"))</f>
        <v/>
      </c>
      <c r="Q26" s="32" t="inlineStr">
        <is>
          <t>H</t>
        </is>
      </c>
      <c r="R26" s="33" t="inlineStr">
        <is>
          <t>venue</t>
        </is>
      </c>
      <c r="S26" s="34" t="inlineStr">
        <is>
          <t>Be sure to arrive at the venue on time.</t>
        </is>
      </c>
      <c r="T26" s="34" t="inlineStr">
        <is>
          <t>必ず時間どおりに会場に到着するようにしてください。</t>
        </is>
      </c>
    </row>
    <row r="27" ht="24" customHeight="1">
      <c r="A27" s="35" t="inlineStr">
        <is>
          <t>Q22</t>
        </is>
      </c>
      <c r="B27" s="4" t="n">
        <v>422</v>
      </c>
      <c r="C27" s="36" t="inlineStr">
        <is>
          <t>辞任する</t>
        </is>
      </c>
      <c r="D27" s="35" t="inlineStr">
        <is>
          <t>動詞</t>
        </is>
      </c>
      <c r="E27" s="37" t="inlineStr">
        <is>
          <t>temporary</t>
        </is>
      </c>
      <c r="F27" s="37" t="inlineStr">
        <is>
          <t>resign</t>
        </is>
      </c>
      <c r="G27" s="37" t="inlineStr">
        <is>
          <t>cancel</t>
        </is>
      </c>
      <c r="H27" s="37" t="inlineStr">
        <is>
          <t>attention</t>
        </is>
      </c>
      <c r="I27" s="37" t="inlineStr">
        <is>
          <t>immediate</t>
        </is>
      </c>
      <c r="J27" s="37" t="inlineStr">
        <is>
          <t>identify</t>
        </is>
      </c>
      <c r="K27" s="37" t="inlineStr">
        <is>
          <t>polite</t>
        </is>
      </c>
      <c r="L27" s="37" t="inlineStr">
        <is>
          <t>laboratory</t>
        </is>
      </c>
      <c r="M27" s="37" t="inlineStr">
        <is>
          <t>transfer</t>
        </is>
      </c>
      <c r="N27" s="37" t="inlineStr">
        <is>
          <t>focus</t>
        </is>
      </c>
      <c r="O27" s="31" t="inlineStr"/>
      <c r="P27" s="38">
        <f>IF(ISBLANK(O27), "", IF(TRIM(UPPER(O27))=TRIM(UPPER(Q27)), "○ 正解", "× 不正解"))</f>
        <v/>
      </c>
      <c r="Q27" s="38" t="inlineStr">
        <is>
          <t>B</t>
        </is>
      </c>
      <c r="R27" s="39" t="inlineStr">
        <is>
          <t>resign</t>
        </is>
      </c>
      <c r="S27" s="40" t="inlineStr">
        <is>
          <t>The president resigned yesterday.</t>
        </is>
      </c>
      <c r="T27" s="40" t="inlineStr">
        <is>
          <t>社長は昨日、辞任した。</t>
        </is>
      </c>
    </row>
    <row r="28" ht="24" customHeight="1">
      <c r="A28" s="28" t="inlineStr">
        <is>
          <t>Q23</t>
        </is>
      </c>
      <c r="B28" s="9" t="n">
        <v>423</v>
      </c>
      <c r="C28" s="29" t="inlineStr">
        <is>
          <t>添付する</t>
        </is>
      </c>
      <c r="D28" s="28" t="inlineStr">
        <is>
          <t>動詞</t>
        </is>
      </c>
      <c r="E28" s="30" t="inlineStr">
        <is>
          <t>questionnaire</t>
        </is>
      </c>
      <c r="F28" s="30" t="inlineStr">
        <is>
          <t>pour</t>
        </is>
      </c>
      <c r="G28" s="30" t="inlineStr">
        <is>
          <t>cause</t>
        </is>
      </c>
      <c r="H28" s="30" t="inlineStr">
        <is>
          <t>upgrade</t>
        </is>
      </c>
      <c r="I28" s="30" t="inlineStr">
        <is>
          <t>transfer</t>
        </is>
      </c>
      <c r="J28" s="30" t="inlineStr">
        <is>
          <t>attach</t>
        </is>
      </c>
      <c r="K28" s="30" t="inlineStr">
        <is>
          <t>refreshment</t>
        </is>
      </c>
      <c r="L28" s="30" t="inlineStr">
        <is>
          <t>divide</t>
        </is>
      </c>
      <c r="M28" s="30" t="inlineStr">
        <is>
          <t>refuse</t>
        </is>
      </c>
      <c r="N28" s="30" t="inlineStr">
        <is>
          <t>instant</t>
        </is>
      </c>
      <c r="O28" s="31" t="inlineStr"/>
      <c r="P28" s="32">
        <f>IF(ISBLANK(O28), "", IF(TRIM(UPPER(O28))=TRIM(UPPER(Q28)), "○ 正解", "× 不正解"))</f>
        <v/>
      </c>
      <c r="Q28" s="32" t="inlineStr">
        <is>
          <t>F</t>
        </is>
      </c>
      <c r="R28" s="33" t="inlineStr">
        <is>
          <t>attach</t>
        </is>
      </c>
      <c r="S28" s="34" t="inlineStr">
        <is>
          <t>I attached the conference schedule for your information.</t>
        </is>
      </c>
      <c r="T28" s="34" t="inlineStr">
        <is>
          <t>ご参考までに会議スケジュールを添付いたしました。</t>
        </is>
      </c>
    </row>
    <row r="29" ht="24" customHeight="1">
      <c r="A29" s="35" t="inlineStr">
        <is>
          <t>Q24</t>
        </is>
      </c>
      <c r="B29" s="4" t="n">
        <v>424</v>
      </c>
      <c r="C29" s="36" t="inlineStr">
        <is>
          <t>取り消す</t>
        </is>
      </c>
      <c r="D29" s="35" t="inlineStr">
        <is>
          <t>動詞</t>
        </is>
      </c>
      <c r="E29" s="37" t="inlineStr">
        <is>
          <t>expert</t>
        </is>
      </c>
      <c r="F29" s="37" t="inlineStr">
        <is>
          <t>compared with</t>
        </is>
      </c>
      <c r="G29" s="37" t="inlineStr">
        <is>
          <t>cancel</t>
        </is>
      </c>
      <c r="H29" s="37" t="inlineStr">
        <is>
          <t>accompany</t>
        </is>
      </c>
      <c r="I29" s="37" t="inlineStr">
        <is>
          <t>demonstrate</t>
        </is>
      </c>
      <c r="J29" s="37" t="inlineStr">
        <is>
          <t>probable</t>
        </is>
      </c>
      <c r="K29" s="37" t="inlineStr">
        <is>
          <t>property</t>
        </is>
      </c>
      <c r="L29" s="37" t="inlineStr">
        <is>
          <t>influence</t>
        </is>
      </c>
      <c r="M29" s="37" t="inlineStr">
        <is>
          <t>invoice</t>
        </is>
      </c>
      <c r="N29" s="37" t="inlineStr">
        <is>
          <t>specific</t>
        </is>
      </c>
      <c r="O29" s="31" t="inlineStr"/>
      <c r="P29" s="38">
        <f>IF(ISBLANK(O29), "", IF(TRIM(UPPER(O29))=TRIM(UPPER(Q29)), "○ 正解", "× 不正解"))</f>
        <v/>
      </c>
      <c r="Q29" s="38" t="inlineStr">
        <is>
          <t>C</t>
        </is>
      </c>
      <c r="R29" s="39" t="inlineStr">
        <is>
          <t>cancel</t>
        </is>
      </c>
      <c r="S29" s="40" t="inlineStr">
        <is>
          <t>I'd like to cancel my reservation.</t>
        </is>
      </c>
      <c r="T29" s="40" t="inlineStr">
        <is>
          <t>予約の取り消しをお願いします。</t>
        </is>
      </c>
    </row>
    <row r="30" ht="24" customHeight="1">
      <c r="A30" s="28" t="inlineStr">
        <is>
          <t>Q25</t>
        </is>
      </c>
      <c r="B30" s="9" t="n">
        <v>425</v>
      </c>
      <c r="C30" s="29" t="inlineStr">
        <is>
          <t>よくある</t>
        </is>
      </c>
      <c r="D30" s="28" t="inlineStr">
        <is>
          <t>形容詞</t>
        </is>
      </c>
      <c r="E30" s="30" t="inlineStr">
        <is>
          <t>pour</t>
        </is>
      </c>
      <c r="F30" s="30" t="inlineStr">
        <is>
          <t>upstairs</t>
        </is>
      </c>
      <c r="G30" s="30" t="inlineStr">
        <is>
          <t>attitude</t>
        </is>
      </c>
      <c r="H30" s="30" t="inlineStr">
        <is>
          <t>mild</t>
        </is>
      </c>
      <c r="I30" s="30" t="inlineStr">
        <is>
          <t>revise</t>
        </is>
      </c>
      <c r="J30" s="30" t="inlineStr">
        <is>
          <t>population</t>
        </is>
      </c>
      <c r="K30" s="30" t="inlineStr">
        <is>
          <t>extension</t>
        </is>
      </c>
      <c r="L30" s="30" t="inlineStr">
        <is>
          <t>probable</t>
        </is>
      </c>
      <c r="M30" s="30" t="inlineStr">
        <is>
          <t>common</t>
        </is>
      </c>
      <c r="N30" s="30" t="inlineStr">
        <is>
          <t>executive</t>
        </is>
      </c>
      <c r="O30" s="31" t="inlineStr"/>
      <c r="P30" s="32">
        <f>IF(ISBLANK(O30), "", IF(TRIM(UPPER(O30))=TRIM(UPPER(Q30)), "○ 正解", "× 不正解"))</f>
        <v/>
      </c>
      <c r="Q30" s="32" t="inlineStr">
        <is>
          <t>I</t>
        </is>
      </c>
      <c r="R30" s="33" t="inlineStr">
        <is>
          <t>common</t>
        </is>
      </c>
      <c r="S30" s="34" t="inlineStr">
        <is>
          <t>It's a common spelling mistake.</t>
        </is>
      </c>
      <c r="T30" s="34" t="inlineStr">
        <is>
          <t>それはよくあるスペルミスです。</t>
        </is>
      </c>
    </row>
    <row r="31" ht="24" customHeight="1">
      <c r="A31" s="35" t="inlineStr">
        <is>
          <t>Q26</t>
        </is>
      </c>
      <c r="B31" s="4" t="n">
        <v>426</v>
      </c>
      <c r="C31" s="36" t="inlineStr">
        <is>
          <t>会話</t>
        </is>
      </c>
      <c r="D31" s="35" t="inlineStr">
        <is>
          <t>名詞</t>
        </is>
      </c>
      <c r="E31" s="37" t="inlineStr">
        <is>
          <t>instant</t>
        </is>
      </c>
      <c r="F31" s="37" t="inlineStr">
        <is>
          <t>necessary</t>
        </is>
      </c>
      <c r="G31" s="37" t="inlineStr">
        <is>
          <t>influence</t>
        </is>
      </c>
      <c r="H31" s="37" t="inlineStr">
        <is>
          <t>mild</t>
        </is>
      </c>
      <c r="I31" s="37" t="inlineStr">
        <is>
          <t>population</t>
        </is>
      </c>
      <c r="J31" s="37" t="inlineStr">
        <is>
          <t>income</t>
        </is>
      </c>
      <c r="K31" s="37" t="inlineStr">
        <is>
          <t>conversation</t>
        </is>
      </c>
      <c r="L31" s="37" t="inlineStr">
        <is>
          <t>prior to</t>
        </is>
      </c>
      <c r="M31" s="37" t="inlineStr">
        <is>
          <t>regarding</t>
        </is>
      </c>
      <c r="N31" s="37" t="inlineStr">
        <is>
          <t>expire</t>
        </is>
      </c>
      <c r="O31" s="31" t="inlineStr"/>
      <c r="P31" s="38">
        <f>IF(ISBLANK(O31), "", IF(TRIM(UPPER(O31))=TRIM(UPPER(Q31)), "○ 正解", "× 不正解"))</f>
        <v/>
      </c>
      <c r="Q31" s="38" t="inlineStr">
        <is>
          <t>G</t>
        </is>
      </c>
      <c r="R31" s="39" t="inlineStr">
        <is>
          <t>conversation</t>
        </is>
      </c>
      <c r="S31" s="40" t="inlineStr">
        <is>
          <t>They're having a conversation.</t>
        </is>
      </c>
      <c r="T31" s="40" t="inlineStr">
        <is>
          <t>彼らは会話をしている。</t>
        </is>
      </c>
    </row>
    <row r="32" ht="24" customHeight="1">
      <c r="A32" s="28" t="inlineStr">
        <is>
          <t>Q27</t>
        </is>
      </c>
      <c r="B32" s="9" t="n">
        <v>427</v>
      </c>
      <c r="C32" s="29" t="inlineStr">
        <is>
          <t>経済的な</t>
        </is>
      </c>
      <c r="D32" s="28" t="inlineStr">
        <is>
          <t>形容詞</t>
        </is>
      </c>
      <c r="E32" s="30" t="inlineStr">
        <is>
          <t>common</t>
        </is>
      </c>
      <c r="F32" s="30" t="inlineStr">
        <is>
          <t>demonstrate</t>
        </is>
      </c>
      <c r="G32" s="30" t="inlineStr">
        <is>
          <t>normally</t>
        </is>
      </c>
      <c r="H32" s="30" t="inlineStr">
        <is>
          <t>upgrade</t>
        </is>
      </c>
      <c r="I32" s="30" t="inlineStr">
        <is>
          <t>process</t>
        </is>
      </c>
      <c r="J32" s="30" t="inlineStr">
        <is>
          <t>relocate</t>
        </is>
      </c>
      <c r="K32" s="30" t="inlineStr">
        <is>
          <t>accompany</t>
        </is>
      </c>
      <c r="L32" s="30" t="inlineStr">
        <is>
          <t>maximum</t>
        </is>
      </c>
      <c r="M32" s="30" t="inlineStr">
        <is>
          <t>executive</t>
        </is>
      </c>
      <c r="N32" s="30" t="inlineStr">
        <is>
          <t>economical</t>
        </is>
      </c>
      <c r="O32" s="31" t="inlineStr"/>
      <c r="P32" s="32">
        <f>IF(ISBLANK(O32), "", IF(TRIM(UPPER(O32))=TRIM(UPPER(Q32)), "○ 正解", "× 不正解"))</f>
        <v/>
      </c>
      <c r="Q32" s="32" t="inlineStr">
        <is>
          <t>J</t>
        </is>
      </c>
      <c r="R32" s="33" t="inlineStr">
        <is>
          <t>economical</t>
        </is>
      </c>
      <c r="S32" s="34" t="inlineStr">
        <is>
          <t>It's more economical to buy in bulk.</t>
        </is>
      </c>
      <c r="T32" s="34" t="inlineStr">
        <is>
          <t>まとめて買うほうが経済的です。</t>
        </is>
      </c>
    </row>
    <row r="33" ht="24" customHeight="1">
      <c r="A33" s="35" t="inlineStr">
        <is>
          <t>Q28</t>
        </is>
      </c>
      <c r="B33" s="4" t="n">
        <v>428</v>
      </c>
      <c r="C33" s="36" t="inlineStr">
        <is>
          <t>交換する</t>
        </is>
      </c>
      <c r="D33" s="35" t="inlineStr">
        <is>
          <t>動詞</t>
        </is>
      </c>
      <c r="E33" s="37" t="inlineStr">
        <is>
          <t>ride</t>
        </is>
      </c>
      <c r="F33" s="37" t="inlineStr">
        <is>
          <t>cause</t>
        </is>
      </c>
      <c r="G33" s="37" t="inlineStr">
        <is>
          <t>normally</t>
        </is>
      </c>
      <c r="H33" s="37" t="inlineStr">
        <is>
          <t>resign</t>
        </is>
      </c>
      <c r="I33" s="37" t="inlineStr">
        <is>
          <t>contain</t>
        </is>
      </c>
      <c r="J33" s="37" t="inlineStr">
        <is>
          <t>respectively</t>
        </is>
      </c>
      <c r="K33" s="37" t="inlineStr">
        <is>
          <t>mild</t>
        </is>
      </c>
      <c r="L33" s="37" t="inlineStr">
        <is>
          <t>association</t>
        </is>
      </c>
      <c r="M33" s="37" t="inlineStr">
        <is>
          <t>exchange</t>
        </is>
      </c>
      <c r="N33" s="37" t="inlineStr">
        <is>
          <t>revise</t>
        </is>
      </c>
      <c r="O33" s="31" t="inlineStr"/>
      <c r="P33" s="38">
        <f>IF(ISBLANK(O33), "", IF(TRIM(UPPER(O33))=TRIM(UPPER(Q33)), "○ 正解", "× 不正解"))</f>
        <v/>
      </c>
      <c r="Q33" s="38" t="inlineStr">
        <is>
          <t>I</t>
        </is>
      </c>
      <c r="R33" s="39" t="inlineStr">
        <is>
          <t>exchange</t>
        </is>
      </c>
      <c r="S33" s="40" t="inlineStr">
        <is>
          <t>Can I exchange this jacket for a black one?</t>
        </is>
      </c>
      <c r="T33" s="40" t="inlineStr">
        <is>
          <t>このジャケットを黒のものと交換することはできますか。</t>
        </is>
      </c>
    </row>
    <row r="34" ht="24" customHeight="1">
      <c r="A34" s="28" t="inlineStr">
        <is>
          <t>Q29</t>
        </is>
      </c>
      <c r="B34" s="9" t="n">
        <v>429</v>
      </c>
      <c r="C34" s="29" t="inlineStr">
        <is>
          <t>専門家</t>
        </is>
      </c>
      <c r="D34" s="28" t="inlineStr">
        <is>
          <t>名詞</t>
        </is>
      </c>
      <c r="E34" s="30" t="inlineStr">
        <is>
          <t>influence</t>
        </is>
      </c>
      <c r="F34" s="30" t="inlineStr">
        <is>
          <t>expense</t>
        </is>
      </c>
      <c r="G34" s="30" t="inlineStr">
        <is>
          <t>complicated</t>
        </is>
      </c>
      <c r="H34" s="30" t="inlineStr">
        <is>
          <t>routine</t>
        </is>
      </c>
      <c r="I34" s="30" t="inlineStr">
        <is>
          <t>cause</t>
        </is>
      </c>
      <c r="J34" s="30" t="inlineStr">
        <is>
          <t>economical</t>
        </is>
      </c>
      <c r="K34" s="30" t="inlineStr">
        <is>
          <t>assemble</t>
        </is>
      </c>
      <c r="L34" s="30" t="inlineStr">
        <is>
          <t>temporary</t>
        </is>
      </c>
      <c r="M34" s="30" t="inlineStr">
        <is>
          <t>expert</t>
        </is>
      </c>
      <c r="N34" s="30" t="inlineStr">
        <is>
          <t>resign</t>
        </is>
      </c>
      <c r="O34" s="31" t="inlineStr"/>
      <c r="P34" s="32">
        <f>IF(ISBLANK(O34), "", IF(TRIM(UPPER(O34))=TRIM(UPPER(Q34)), "○ 正解", "× 不正解"))</f>
        <v/>
      </c>
      <c r="Q34" s="32" t="inlineStr">
        <is>
          <t>I</t>
        </is>
      </c>
      <c r="R34" s="33" t="inlineStr">
        <is>
          <t>expert</t>
        </is>
      </c>
      <c r="S34" s="34" t="inlineStr">
        <is>
          <t>Peter is a computer expert.</t>
        </is>
      </c>
      <c r="T34" s="34" t="inlineStr">
        <is>
          <t>ピーターはコンピュータの専門家です。</t>
        </is>
      </c>
    </row>
    <row r="35" ht="24" customHeight="1">
      <c r="A35" s="35" t="inlineStr">
        <is>
          <t>Q30</t>
        </is>
      </c>
      <c r="B35" s="4" t="n">
        <v>430</v>
      </c>
      <c r="C35" s="36" t="inlineStr">
        <is>
          <t>内線</t>
        </is>
      </c>
      <c r="D35" s="35" t="inlineStr">
        <is>
          <t>名詞</t>
        </is>
      </c>
      <c r="E35" s="37" t="inlineStr">
        <is>
          <t>probable</t>
        </is>
      </c>
      <c r="F35" s="37" t="inlineStr">
        <is>
          <t>conversation</t>
        </is>
      </c>
      <c r="G35" s="37" t="inlineStr">
        <is>
          <t>competitive</t>
        </is>
      </c>
      <c r="H35" s="37" t="inlineStr">
        <is>
          <t>association</t>
        </is>
      </c>
      <c r="I35" s="37" t="inlineStr">
        <is>
          <t>aware</t>
        </is>
      </c>
      <c r="J35" s="37" t="inlineStr">
        <is>
          <t>temporary</t>
        </is>
      </c>
      <c r="K35" s="37" t="inlineStr">
        <is>
          <t>extension</t>
        </is>
      </c>
      <c r="L35" s="37" t="inlineStr">
        <is>
          <t>resign</t>
        </is>
      </c>
      <c r="M35" s="37" t="inlineStr">
        <is>
          <t>plumber</t>
        </is>
      </c>
      <c r="N35" s="37" t="inlineStr">
        <is>
          <t>host</t>
        </is>
      </c>
      <c r="O35" s="31" t="inlineStr"/>
      <c r="P35" s="38">
        <f>IF(ISBLANK(O35), "", IF(TRIM(UPPER(O35))=TRIM(UPPER(Q35)), "○ 正解", "× 不正解"))</f>
        <v/>
      </c>
      <c r="Q35" s="38" t="inlineStr">
        <is>
          <t>G</t>
        </is>
      </c>
      <c r="R35" s="39" t="inlineStr">
        <is>
          <t>extension</t>
        </is>
      </c>
      <c r="S35" s="40" t="inlineStr">
        <is>
          <t>What's your extension number?</t>
        </is>
      </c>
      <c r="T35" s="40" t="inlineStr">
        <is>
          <t>あなたの内線番号は何番ですか。</t>
        </is>
      </c>
    </row>
    <row r="36" ht="24" customHeight="1">
      <c r="A36" s="28" t="inlineStr">
        <is>
          <t>Q31</t>
        </is>
      </c>
      <c r="B36" s="9" t="n">
        <v>431</v>
      </c>
      <c r="C36" s="29" t="inlineStr">
        <is>
          <t>よく知っている</t>
        </is>
      </c>
      <c r="D36" s="28" t="inlineStr">
        <is>
          <t>形容詞</t>
        </is>
      </c>
      <c r="E36" s="30" t="inlineStr">
        <is>
          <t>reputation</t>
        </is>
      </c>
      <c r="F36" s="30" t="inlineStr">
        <is>
          <t>familiar</t>
        </is>
      </c>
      <c r="G36" s="30" t="inlineStr">
        <is>
          <t>seek</t>
        </is>
      </c>
      <c r="H36" s="30" t="inlineStr">
        <is>
          <t>expire</t>
        </is>
      </c>
      <c r="I36" s="30" t="inlineStr">
        <is>
          <t>stock</t>
        </is>
      </c>
      <c r="J36" s="30" t="inlineStr">
        <is>
          <t>upstairs</t>
        </is>
      </c>
      <c r="K36" s="30" t="inlineStr">
        <is>
          <t>expense</t>
        </is>
      </c>
      <c r="L36" s="30" t="inlineStr">
        <is>
          <t>relocate</t>
        </is>
      </c>
      <c r="M36" s="30" t="inlineStr">
        <is>
          <t>refuse</t>
        </is>
      </c>
      <c r="N36" s="30" t="inlineStr">
        <is>
          <t>greet</t>
        </is>
      </c>
      <c r="O36" s="31" t="inlineStr"/>
      <c r="P36" s="32">
        <f>IF(ISBLANK(O36), "", IF(TRIM(UPPER(O36))=TRIM(UPPER(Q36)), "○ 正解", "× 不正解"))</f>
        <v/>
      </c>
      <c r="Q36" s="32" t="inlineStr">
        <is>
          <t>B</t>
        </is>
      </c>
      <c r="R36" s="33" t="inlineStr">
        <is>
          <t>familiar</t>
        </is>
      </c>
      <c r="S36" s="34" t="inlineStr">
        <is>
          <t>Are you familiar with this software?</t>
        </is>
      </c>
      <c r="T36" s="34" t="inlineStr">
        <is>
          <t>あなたはこのソフトウェアのことをよく知っていますか。</t>
        </is>
      </c>
    </row>
    <row r="37" ht="24" customHeight="1">
      <c r="A37" s="35" t="inlineStr">
        <is>
          <t>Q32</t>
        </is>
      </c>
      <c r="B37" s="4" t="n">
        <v>432</v>
      </c>
      <c r="C37" s="36" t="inlineStr">
        <is>
          <t>主催する</t>
        </is>
      </c>
      <c r="D37" s="35" t="inlineStr">
        <is>
          <t>動詞</t>
        </is>
      </c>
      <c r="E37" s="37" t="inlineStr">
        <is>
          <t>expire</t>
        </is>
      </c>
      <c r="F37" s="37" t="inlineStr">
        <is>
          <t>demonstrate</t>
        </is>
      </c>
      <c r="G37" s="37" t="inlineStr">
        <is>
          <t>compared with</t>
        </is>
      </c>
      <c r="H37" s="37" t="inlineStr">
        <is>
          <t>seek</t>
        </is>
      </c>
      <c r="I37" s="37" t="inlineStr">
        <is>
          <t>budget</t>
        </is>
      </c>
      <c r="J37" s="37" t="inlineStr">
        <is>
          <t>instant</t>
        </is>
      </c>
      <c r="K37" s="37" t="inlineStr">
        <is>
          <t>executive</t>
        </is>
      </c>
      <c r="L37" s="37" t="inlineStr">
        <is>
          <t>pour</t>
        </is>
      </c>
      <c r="M37" s="37" t="inlineStr">
        <is>
          <t>assemble</t>
        </is>
      </c>
      <c r="N37" s="37" t="inlineStr">
        <is>
          <t>host</t>
        </is>
      </c>
      <c r="O37" s="31" t="inlineStr"/>
      <c r="P37" s="38">
        <f>IF(ISBLANK(O37), "", IF(TRIM(UPPER(O37))=TRIM(UPPER(Q37)), "○ 正解", "× 不正解"))</f>
        <v/>
      </c>
      <c r="Q37" s="38" t="inlineStr">
        <is>
          <t>J</t>
        </is>
      </c>
      <c r="R37" s="39" t="inlineStr">
        <is>
          <t>host</t>
        </is>
      </c>
      <c r="S37" s="40" t="inlineStr">
        <is>
          <t>The city hosts a music festival every year.</t>
        </is>
      </c>
      <c r="T37" s="40" t="inlineStr">
        <is>
          <t>その市は毎年、音楽祭を主催する。</t>
        </is>
      </c>
    </row>
    <row r="38" ht="24" customHeight="1">
      <c r="A38" s="28" t="inlineStr">
        <is>
          <t>Q33</t>
        </is>
      </c>
      <c r="B38" s="9" t="n">
        <v>433</v>
      </c>
      <c r="C38" s="29" t="inlineStr">
        <is>
          <t>車に乗せること</t>
        </is>
      </c>
      <c r="D38" s="28" t="inlineStr">
        <is>
          <t>名詞</t>
        </is>
      </c>
      <c r="E38" s="30" t="inlineStr">
        <is>
          <t>ride</t>
        </is>
      </c>
      <c r="F38" s="30" t="inlineStr">
        <is>
          <t>assemble</t>
        </is>
      </c>
      <c r="G38" s="30" t="inlineStr">
        <is>
          <t>retail</t>
        </is>
      </c>
      <c r="H38" s="30" t="inlineStr">
        <is>
          <t>expert</t>
        </is>
      </c>
      <c r="I38" s="30" t="inlineStr">
        <is>
          <t>broad</t>
        </is>
      </c>
      <c r="J38" s="30" t="inlineStr">
        <is>
          <t>contribute</t>
        </is>
      </c>
      <c r="K38" s="30" t="inlineStr">
        <is>
          <t>association</t>
        </is>
      </c>
      <c r="L38" s="30" t="inlineStr">
        <is>
          <t>economical</t>
        </is>
      </c>
      <c r="M38" s="30" t="inlineStr">
        <is>
          <t>exchange</t>
        </is>
      </c>
      <c r="N38" s="30" t="inlineStr">
        <is>
          <t>divide</t>
        </is>
      </c>
      <c r="O38" s="31" t="inlineStr"/>
      <c r="P38" s="32">
        <f>IF(ISBLANK(O38), "", IF(TRIM(UPPER(O38))=TRIM(UPPER(Q38)), "○ 正解", "× 不正解"))</f>
        <v/>
      </c>
      <c r="Q38" s="32" t="inlineStr">
        <is>
          <t>A</t>
        </is>
      </c>
      <c r="R38" s="33" t="inlineStr">
        <is>
          <t>ride</t>
        </is>
      </c>
      <c r="S38" s="34" t="inlineStr">
        <is>
          <t>Can you give me a ride to the station?</t>
        </is>
      </c>
      <c r="T38" s="34" t="inlineStr">
        <is>
          <t>駅まで車に乗せていってもらえますか。</t>
        </is>
      </c>
    </row>
    <row r="39" ht="24" customHeight="1">
      <c r="A39" s="35" t="inlineStr">
        <is>
          <t>Q34</t>
        </is>
      </c>
      <c r="B39" s="4" t="n">
        <v>434</v>
      </c>
      <c r="C39" s="36" t="inlineStr">
        <is>
          <t>求める</t>
        </is>
      </c>
      <c r="D39" s="35" t="inlineStr">
        <is>
          <t>動詞</t>
        </is>
      </c>
      <c r="E39" s="37" t="inlineStr">
        <is>
          <t>polite</t>
        </is>
      </c>
      <c r="F39" s="37" t="inlineStr">
        <is>
          <t>attention</t>
        </is>
      </c>
      <c r="G39" s="37" t="inlineStr">
        <is>
          <t>chemical</t>
        </is>
      </c>
      <c r="H39" s="37" t="inlineStr">
        <is>
          <t>resign</t>
        </is>
      </c>
      <c r="I39" s="37" t="inlineStr">
        <is>
          <t>restore</t>
        </is>
      </c>
      <c r="J39" s="37" t="inlineStr">
        <is>
          <t>executive</t>
        </is>
      </c>
      <c r="K39" s="37" t="inlineStr">
        <is>
          <t>particular</t>
        </is>
      </c>
      <c r="L39" s="37" t="inlineStr">
        <is>
          <t>laboratory</t>
        </is>
      </c>
      <c r="M39" s="37" t="inlineStr">
        <is>
          <t>seek</t>
        </is>
      </c>
      <c r="N39" s="37" t="inlineStr">
        <is>
          <t>demonstrate</t>
        </is>
      </c>
      <c r="O39" s="31" t="inlineStr"/>
      <c r="P39" s="38">
        <f>IF(ISBLANK(O39), "", IF(TRIM(UPPER(O39))=TRIM(UPPER(Q39)), "○ 正解", "× 不正解"))</f>
        <v/>
      </c>
      <c r="Q39" s="38" t="inlineStr">
        <is>
          <t>I</t>
        </is>
      </c>
      <c r="R39" s="39" t="inlineStr">
        <is>
          <t>seek</t>
        </is>
      </c>
      <c r="S39" s="40" t="inlineStr">
        <is>
          <t>We are seeking an accountant.</t>
        </is>
      </c>
      <c r="T39" s="40" t="inlineStr">
        <is>
          <t>当社は経理担当者を求めています。</t>
        </is>
      </c>
    </row>
    <row r="40" ht="24" customHeight="1">
      <c r="A40" s="28" t="inlineStr">
        <is>
          <t>Q35</t>
        </is>
      </c>
      <c r="B40" s="9" t="n">
        <v>435</v>
      </c>
      <c r="C40" s="29" t="inlineStr">
        <is>
          <t>辞任する(身を引く)</t>
        </is>
      </c>
      <c r="D40" s="28" t="inlineStr">
        <is>
          <t>動詞</t>
        </is>
      </c>
      <c r="E40" s="30" t="inlineStr">
        <is>
          <t>particular</t>
        </is>
      </c>
      <c r="F40" s="30" t="inlineStr">
        <is>
          <t>point out</t>
        </is>
      </c>
      <c r="G40" s="30" t="inlineStr">
        <is>
          <t>remain</t>
        </is>
      </c>
      <c r="H40" s="30" t="inlineStr">
        <is>
          <t>means</t>
        </is>
      </c>
      <c r="I40" s="30" t="inlineStr">
        <is>
          <t>executive</t>
        </is>
      </c>
      <c r="J40" s="30" t="inlineStr">
        <is>
          <t>host</t>
        </is>
      </c>
      <c r="K40" s="30" t="inlineStr">
        <is>
          <t>probable</t>
        </is>
      </c>
      <c r="L40" s="30" t="inlineStr">
        <is>
          <t>process</t>
        </is>
      </c>
      <c r="M40" s="30" t="inlineStr">
        <is>
          <t>step down</t>
        </is>
      </c>
      <c r="N40" s="30" t="inlineStr">
        <is>
          <t>manner</t>
        </is>
      </c>
      <c r="O40" s="31" t="inlineStr"/>
      <c r="P40" s="32">
        <f>IF(ISBLANK(O40), "", IF(TRIM(UPPER(O40))=TRIM(UPPER(Q40)), "○ 正解", "× 不正解"))</f>
        <v/>
      </c>
      <c r="Q40" s="32" t="inlineStr">
        <is>
          <t>I</t>
        </is>
      </c>
      <c r="R40" s="33" t="inlineStr">
        <is>
          <t>step down</t>
        </is>
      </c>
      <c r="S40" s="34" t="inlineStr">
        <is>
          <t>Ms. Garcia will step down from her post in December.</t>
        </is>
      </c>
      <c r="T40" s="34" t="inlineStr">
        <is>
          <t>ガルシアさんは今の職を12月に辞める。</t>
        </is>
      </c>
    </row>
    <row r="41" ht="24" customHeight="1">
      <c r="A41" s="35" t="inlineStr">
        <is>
          <t>Q36</t>
        </is>
      </c>
      <c r="B41" s="4" t="n">
        <v>436</v>
      </c>
      <c r="C41" s="36" t="inlineStr">
        <is>
          <t>手法</t>
        </is>
      </c>
      <c r="D41" s="35" t="inlineStr">
        <is>
          <t>名詞</t>
        </is>
      </c>
      <c r="E41" s="37" t="inlineStr">
        <is>
          <t>invoice</t>
        </is>
      </c>
      <c r="F41" s="37" t="inlineStr">
        <is>
          <t>refreshment</t>
        </is>
      </c>
      <c r="G41" s="37" t="inlineStr">
        <is>
          <t>plumber</t>
        </is>
      </c>
      <c r="H41" s="37" t="inlineStr">
        <is>
          <t>contain</t>
        </is>
      </c>
      <c r="I41" s="37" t="inlineStr">
        <is>
          <t>broad</t>
        </is>
      </c>
      <c r="J41" s="37" t="inlineStr">
        <is>
          <t>cause</t>
        </is>
      </c>
      <c r="K41" s="37" t="inlineStr">
        <is>
          <t>technique</t>
        </is>
      </c>
      <c r="L41" s="37" t="inlineStr">
        <is>
          <t>lack</t>
        </is>
      </c>
      <c r="M41" s="37" t="inlineStr">
        <is>
          <t>complicated</t>
        </is>
      </c>
      <c r="N41" s="37" t="inlineStr">
        <is>
          <t>familiar</t>
        </is>
      </c>
      <c r="O41" s="31" t="inlineStr"/>
      <c r="P41" s="38">
        <f>IF(ISBLANK(O41), "", IF(TRIM(UPPER(O41))=TRIM(UPPER(Q41)), "○ 正解", "× 不正解"))</f>
        <v/>
      </c>
      <c r="Q41" s="38" t="inlineStr">
        <is>
          <t>G</t>
        </is>
      </c>
      <c r="R41" s="39" t="inlineStr">
        <is>
          <t>technique</t>
        </is>
      </c>
      <c r="S41" s="40" t="inlineStr">
        <is>
          <t>The agency uses various advertising techniques.</t>
        </is>
      </c>
      <c r="T41" s="40" t="inlineStr">
        <is>
          <t>その代理店はさまざまな広告手法を使う。</t>
        </is>
      </c>
    </row>
    <row r="42" ht="24" customHeight="1">
      <c r="A42" s="28" t="inlineStr">
        <is>
          <t>Q37</t>
        </is>
      </c>
      <c r="B42" s="9" t="n">
        <v>437</v>
      </c>
      <c r="C42" s="29" t="inlineStr">
        <is>
          <t>臨時の</t>
        </is>
      </c>
      <c r="D42" s="28" t="inlineStr">
        <is>
          <t>形容詞</t>
        </is>
      </c>
      <c r="E42" s="30" t="inlineStr">
        <is>
          <t>upgrade</t>
        </is>
      </c>
      <c r="F42" s="30" t="inlineStr">
        <is>
          <t>commute</t>
        </is>
      </c>
      <c r="G42" s="30" t="inlineStr">
        <is>
          <t>transfer</t>
        </is>
      </c>
      <c r="H42" s="30" t="inlineStr">
        <is>
          <t>complicated</t>
        </is>
      </c>
      <c r="I42" s="30" t="inlineStr">
        <is>
          <t>update</t>
        </is>
      </c>
      <c r="J42" s="30" t="inlineStr">
        <is>
          <t>demonstrate</t>
        </is>
      </c>
      <c r="K42" s="30" t="inlineStr">
        <is>
          <t>stock</t>
        </is>
      </c>
      <c r="L42" s="30" t="inlineStr">
        <is>
          <t>qualified</t>
        </is>
      </c>
      <c r="M42" s="30" t="inlineStr">
        <is>
          <t>temporary</t>
        </is>
      </c>
      <c r="N42" s="30" t="inlineStr">
        <is>
          <t>remain</t>
        </is>
      </c>
      <c r="O42" s="31" t="inlineStr"/>
      <c r="P42" s="32">
        <f>IF(ISBLANK(O42), "", IF(TRIM(UPPER(O42))=TRIM(UPPER(Q42)), "○ 正解", "× 不正解"))</f>
        <v/>
      </c>
      <c r="Q42" s="32" t="inlineStr">
        <is>
          <t>I</t>
        </is>
      </c>
      <c r="R42" s="33" t="inlineStr">
        <is>
          <t>temporary</t>
        </is>
      </c>
      <c r="S42" s="34" t="inlineStr">
        <is>
          <t>I found a temporary job at a department store.</t>
        </is>
      </c>
      <c r="T42" s="34" t="inlineStr">
        <is>
          <t>私はデパートでの臨時の仕事を見つけた。</t>
        </is>
      </c>
    </row>
    <row r="43" ht="24" customHeight="1">
      <c r="A43" s="35" t="inlineStr">
        <is>
          <t>Q38</t>
        </is>
      </c>
      <c r="B43" s="4" t="n">
        <v>438</v>
      </c>
      <c r="C43" s="36" t="inlineStr">
        <is>
          <t>要因</t>
        </is>
      </c>
      <c r="D43" s="35" t="inlineStr">
        <is>
          <t>名詞</t>
        </is>
      </c>
      <c r="E43" s="37" t="inlineStr">
        <is>
          <t>invoice</t>
        </is>
      </c>
      <c r="F43" s="37" t="inlineStr">
        <is>
          <t>prior to</t>
        </is>
      </c>
      <c r="G43" s="37" t="inlineStr">
        <is>
          <t>establish</t>
        </is>
      </c>
      <c r="H43" s="37" t="inlineStr">
        <is>
          <t>specific</t>
        </is>
      </c>
      <c r="I43" s="37" t="inlineStr">
        <is>
          <t>particular</t>
        </is>
      </c>
      <c r="J43" s="37" t="inlineStr">
        <is>
          <t>factor</t>
        </is>
      </c>
      <c r="K43" s="37" t="inlineStr">
        <is>
          <t>process</t>
        </is>
      </c>
      <c r="L43" s="37" t="inlineStr">
        <is>
          <t>extension</t>
        </is>
      </c>
      <c r="M43" s="37" t="inlineStr">
        <is>
          <t>compared with</t>
        </is>
      </c>
      <c r="N43" s="37" t="inlineStr">
        <is>
          <t>remain</t>
        </is>
      </c>
      <c r="O43" s="31" t="inlineStr"/>
      <c r="P43" s="38">
        <f>IF(ISBLANK(O43), "", IF(TRIM(UPPER(O43))=TRIM(UPPER(Q43)), "○ 正解", "× 不正解"))</f>
        <v/>
      </c>
      <c r="Q43" s="38" t="inlineStr">
        <is>
          <t>F</t>
        </is>
      </c>
      <c r="R43" s="39" t="inlineStr">
        <is>
          <t>factor</t>
        </is>
      </c>
      <c r="S43" s="40" t="inlineStr">
        <is>
          <t>What's the most important factor in choosing a job?</t>
        </is>
      </c>
      <c r="T43" s="40" t="inlineStr">
        <is>
          <t>仕事を選ぶ際、最も重要な要因は何ですか。</t>
        </is>
      </c>
    </row>
    <row r="44" ht="24" customHeight="1">
      <c r="A44" s="28" t="inlineStr">
        <is>
          <t>Q39</t>
        </is>
      </c>
      <c r="B44" s="9" t="n">
        <v>439</v>
      </c>
      <c r="C44" s="29" t="inlineStr">
        <is>
          <t>組み立てる</t>
        </is>
      </c>
      <c r="D44" s="28" t="inlineStr">
        <is>
          <t>動詞</t>
        </is>
      </c>
      <c r="E44" s="30" t="inlineStr">
        <is>
          <t>assemble</t>
        </is>
      </c>
      <c r="F44" s="30" t="inlineStr">
        <is>
          <t>inquire</t>
        </is>
      </c>
      <c r="G44" s="30" t="inlineStr">
        <is>
          <t>host</t>
        </is>
      </c>
      <c r="H44" s="30" t="inlineStr">
        <is>
          <t>contribute</t>
        </is>
      </c>
      <c r="I44" s="30" t="inlineStr">
        <is>
          <t>conversation</t>
        </is>
      </c>
      <c r="J44" s="30" t="inlineStr">
        <is>
          <t>cause</t>
        </is>
      </c>
      <c r="K44" s="30" t="inlineStr">
        <is>
          <t>prior to</t>
        </is>
      </c>
      <c r="L44" s="30" t="inlineStr">
        <is>
          <t>plumber</t>
        </is>
      </c>
      <c r="M44" s="30" t="inlineStr">
        <is>
          <t>remind</t>
        </is>
      </c>
      <c r="N44" s="30" t="inlineStr">
        <is>
          <t>compared with</t>
        </is>
      </c>
      <c r="O44" s="31" t="inlineStr"/>
      <c r="P44" s="32">
        <f>IF(ISBLANK(O44), "", IF(TRIM(UPPER(O44))=TRIM(UPPER(Q44)), "○ 正解", "× 不正解"))</f>
        <v/>
      </c>
      <c r="Q44" s="32" t="inlineStr">
        <is>
          <t>A</t>
        </is>
      </c>
      <c r="R44" s="33" t="inlineStr">
        <is>
          <t>assemble</t>
        </is>
      </c>
      <c r="S44" s="34" t="inlineStr">
        <is>
          <t>These computers were assembled in Taiwan.</t>
        </is>
      </c>
      <c r="T44" s="34" t="inlineStr">
        <is>
          <t>これらのコンピュータは台湾で組み立てられた。</t>
        </is>
      </c>
    </row>
    <row r="45" ht="24" customHeight="1">
      <c r="A45" s="35" t="inlineStr">
        <is>
          <t>Q40</t>
        </is>
      </c>
      <c r="B45" s="4" t="n">
        <v>440</v>
      </c>
      <c r="C45" s="36" t="inlineStr">
        <is>
          <t>注意</t>
        </is>
      </c>
      <c r="D45" s="35" t="inlineStr">
        <is>
          <t>名詞</t>
        </is>
      </c>
      <c r="E45" s="37" t="inlineStr">
        <is>
          <t>compared with</t>
        </is>
      </c>
      <c r="F45" s="37" t="inlineStr">
        <is>
          <t>relaxed</t>
        </is>
      </c>
      <c r="G45" s="37" t="inlineStr">
        <is>
          <t>decade</t>
        </is>
      </c>
      <c r="H45" s="37" t="inlineStr">
        <is>
          <t>questionnaire</t>
        </is>
      </c>
      <c r="I45" s="37" t="inlineStr">
        <is>
          <t>budget</t>
        </is>
      </c>
      <c r="J45" s="37" t="inlineStr">
        <is>
          <t>manner</t>
        </is>
      </c>
      <c r="K45" s="37" t="inlineStr">
        <is>
          <t>expire</t>
        </is>
      </c>
      <c r="L45" s="37" t="inlineStr">
        <is>
          <t>attention</t>
        </is>
      </c>
      <c r="M45" s="37" t="inlineStr">
        <is>
          <t>factor</t>
        </is>
      </c>
      <c r="N45" s="37" t="inlineStr">
        <is>
          <t>convince</t>
        </is>
      </c>
      <c r="O45" s="31" t="inlineStr"/>
      <c r="P45" s="38">
        <f>IF(ISBLANK(O45), "", IF(TRIM(UPPER(O45))=TRIM(UPPER(Q45)), "○ 正解", "× 不正解"))</f>
        <v/>
      </c>
      <c r="Q45" s="38" t="inlineStr">
        <is>
          <t>H</t>
        </is>
      </c>
      <c r="R45" s="39" t="inlineStr">
        <is>
          <t>attention</t>
        </is>
      </c>
      <c r="S45" s="40" t="inlineStr">
        <is>
          <t>I wasn't paying attention to him.</t>
        </is>
      </c>
      <c r="T45" s="40" t="inlineStr">
        <is>
          <t>私は彼に注意を払っていなかった。</t>
        </is>
      </c>
    </row>
    <row r="46" ht="24" customHeight="1">
      <c r="A46" s="28" t="inlineStr">
        <is>
          <t>Q41</t>
        </is>
      </c>
      <c r="B46" s="9" t="n">
        <v>441</v>
      </c>
      <c r="C46" s="29" t="inlineStr">
        <is>
          <t>請求書</t>
        </is>
      </c>
      <c r="D46" s="28" t="inlineStr">
        <is>
          <t>名詞</t>
        </is>
      </c>
      <c r="E46" s="30" t="inlineStr">
        <is>
          <t>retail</t>
        </is>
      </c>
      <c r="F46" s="30" t="inlineStr">
        <is>
          <t>specific</t>
        </is>
      </c>
      <c r="G46" s="30" t="inlineStr">
        <is>
          <t>mild</t>
        </is>
      </c>
      <c r="H46" s="30" t="inlineStr">
        <is>
          <t>education</t>
        </is>
      </c>
      <c r="I46" s="30" t="inlineStr">
        <is>
          <t>relocate</t>
        </is>
      </c>
      <c r="J46" s="30" t="inlineStr">
        <is>
          <t>normally</t>
        </is>
      </c>
      <c r="K46" s="30" t="inlineStr">
        <is>
          <t>extension</t>
        </is>
      </c>
      <c r="L46" s="30" t="inlineStr">
        <is>
          <t>contain</t>
        </is>
      </c>
      <c r="M46" s="30" t="inlineStr">
        <is>
          <t>invoice</t>
        </is>
      </c>
      <c r="N46" s="30" t="inlineStr">
        <is>
          <t>complicated</t>
        </is>
      </c>
      <c r="O46" s="31" t="inlineStr"/>
      <c r="P46" s="32">
        <f>IF(ISBLANK(O46), "", IF(TRIM(UPPER(O46))=TRIM(UPPER(Q46)), "○ 正解", "× 不正解"))</f>
        <v/>
      </c>
      <c r="Q46" s="32" t="inlineStr">
        <is>
          <t>I</t>
        </is>
      </c>
      <c r="R46" s="33" t="inlineStr">
        <is>
          <t>invoice</t>
        </is>
      </c>
      <c r="S46" s="34" t="inlineStr">
        <is>
          <t>We've received an invoice for sixty-five dollars.</t>
        </is>
      </c>
      <c r="T46" s="34" t="inlineStr">
        <is>
          <t>私たちは65ドルの請求書を受け取った。</t>
        </is>
      </c>
    </row>
    <row r="47" ht="24" customHeight="1">
      <c r="A47" s="35" t="inlineStr">
        <is>
          <t>Q42</t>
        </is>
      </c>
      <c r="B47" s="4" t="n">
        <v>442</v>
      </c>
      <c r="C47" s="36" t="inlineStr">
        <is>
          <t>〜の前に</t>
        </is>
      </c>
      <c r="D47" s="35" t="inlineStr">
        <is>
          <t>前置詞</t>
        </is>
      </c>
      <c r="E47" s="37" t="inlineStr">
        <is>
          <t>demonstrate</t>
        </is>
      </c>
      <c r="F47" s="37" t="inlineStr">
        <is>
          <t>prior to</t>
        </is>
      </c>
      <c r="G47" s="37" t="inlineStr">
        <is>
          <t>chemical</t>
        </is>
      </c>
      <c r="H47" s="37" t="inlineStr">
        <is>
          <t>cause</t>
        </is>
      </c>
      <c r="I47" s="37" t="inlineStr">
        <is>
          <t>accompany</t>
        </is>
      </c>
      <c r="J47" s="37" t="inlineStr">
        <is>
          <t>temporary</t>
        </is>
      </c>
      <c r="K47" s="37" t="inlineStr">
        <is>
          <t>polite</t>
        </is>
      </c>
      <c r="L47" s="37" t="inlineStr">
        <is>
          <t>lack</t>
        </is>
      </c>
      <c r="M47" s="37" t="inlineStr">
        <is>
          <t>pour</t>
        </is>
      </c>
      <c r="N47" s="37" t="inlineStr">
        <is>
          <t>restore</t>
        </is>
      </c>
      <c r="O47" s="31" t="inlineStr"/>
      <c r="P47" s="38">
        <f>IF(ISBLANK(O47), "", IF(TRIM(UPPER(O47))=TRIM(UPPER(Q47)), "○ 正解", "× 不正解"))</f>
        <v/>
      </c>
      <c r="Q47" s="38" t="inlineStr">
        <is>
          <t>B</t>
        </is>
      </c>
      <c r="R47" s="39" t="inlineStr">
        <is>
          <t>prior to</t>
        </is>
      </c>
      <c r="S47" s="40" t="inlineStr">
        <is>
          <t>Please arrive fifteen minutes prior to your appointment.</t>
        </is>
      </c>
      <c r="T47" s="40" t="inlineStr">
        <is>
          <t>予約時間の15分前に到着するようにしてください。</t>
        </is>
      </c>
    </row>
    <row r="48" ht="24" customHeight="1">
      <c r="A48" s="28" t="inlineStr">
        <is>
          <t>Q43</t>
        </is>
      </c>
      <c r="B48" s="9" t="n">
        <v>443</v>
      </c>
      <c r="C48" s="29" t="inlineStr">
        <is>
          <t>軽い飲食料</t>
        </is>
      </c>
      <c r="D48" s="28" t="inlineStr">
        <is>
          <t>名詞</t>
        </is>
      </c>
      <c r="E48" s="30" t="inlineStr">
        <is>
          <t>normally</t>
        </is>
      </c>
      <c r="F48" s="30" t="inlineStr">
        <is>
          <t>assemble</t>
        </is>
      </c>
      <c r="G48" s="30" t="inlineStr">
        <is>
          <t>refreshment</t>
        </is>
      </c>
      <c r="H48" s="30" t="inlineStr">
        <is>
          <t>comment</t>
        </is>
      </c>
      <c r="I48" s="30" t="inlineStr">
        <is>
          <t>necessary</t>
        </is>
      </c>
      <c r="J48" s="30" t="inlineStr">
        <is>
          <t>plumber</t>
        </is>
      </c>
      <c r="K48" s="30" t="inlineStr">
        <is>
          <t>influence</t>
        </is>
      </c>
      <c r="L48" s="30" t="inlineStr">
        <is>
          <t>probable</t>
        </is>
      </c>
      <c r="M48" s="30" t="inlineStr">
        <is>
          <t>ride</t>
        </is>
      </c>
      <c r="N48" s="30" t="inlineStr">
        <is>
          <t>common</t>
        </is>
      </c>
      <c r="O48" s="31" t="inlineStr"/>
      <c r="P48" s="32">
        <f>IF(ISBLANK(O48), "", IF(TRIM(UPPER(O48))=TRIM(UPPER(Q48)), "○ 正解", "× 不正解"))</f>
        <v/>
      </c>
      <c r="Q48" s="32" t="inlineStr">
        <is>
          <t>C</t>
        </is>
      </c>
      <c r="R48" s="33" t="inlineStr">
        <is>
          <t>refreshment</t>
        </is>
      </c>
      <c r="S48" s="34" t="inlineStr">
        <is>
          <t>Refreshments will be served after the meeting.</t>
        </is>
      </c>
      <c r="T48" s="34" t="inlineStr">
        <is>
          <t>会議の後、軽い飲食料が出ます。</t>
        </is>
      </c>
    </row>
    <row r="49" ht="24" customHeight="1">
      <c r="A49" s="35" t="inlineStr">
        <is>
          <t>Q44</t>
        </is>
      </c>
      <c r="B49" s="4" t="n">
        <v>444</v>
      </c>
      <c r="C49" s="36" t="inlineStr">
        <is>
          <t>信用</t>
        </is>
      </c>
      <c r="D49" s="35" t="inlineStr">
        <is>
          <t>名詞</t>
        </is>
      </c>
      <c r="E49" s="37" t="inlineStr">
        <is>
          <t>fine</t>
        </is>
      </c>
      <c r="F49" s="37" t="inlineStr">
        <is>
          <t>comment</t>
        </is>
      </c>
      <c r="G49" s="37" t="inlineStr">
        <is>
          <t>upgrade</t>
        </is>
      </c>
      <c r="H49" s="37" t="inlineStr">
        <is>
          <t>restore</t>
        </is>
      </c>
      <c r="I49" s="37" t="inlineStr">
        <is>
          <t>expert</t>
        </is>
      </c>
      <c r="J49" s="37" t="inlineStr">
        <is>
          <t>probable</t>
        </is>
      </c>
      <c r="K49" s="37" t="inlineStr">
        <is>
          <t>technique</t>
        </is>
      </c>
      <c r="L49" s="37" t="inlineStr">
        <is>
          <t>routine</t>
        </is>
      </c>
      <c r="M49" s="37" t="inlineStr">
        <is>
          <t>update</t>
        </is>
      </c>
      <c r="N49" s="37" t="inlineStr">
        <is>
          <t>trust</t>
        </is>
      </c>
      <c r="O49" s="31" t="inlineStr"/>
      <c r="P49" s="38">
        <f>IF(ISBLANK(O49), "", IF(TRIM(UPPER(O49))=TRIM(UPPER(Q49)), "○ 正解", "× 不正解"))</f>
        <v/>
      </c>
      <c r="Q49" s="38" t="inlineStr">
        <is>
          <t>J</t>
        </is>
      </c>
      <c r="R49" s="39" t="inlineStr">
        <is>
          <t>trust</t>
        </is>
      </c>
      <c r="S49" s="40" t="inlineStr">
        <is>
          <t>Honesty is the key to building trust.</t>
        </is>
      </c>
      <c r="T49" s="40" t="inlineStr">
        <is>
          <t>誠実さは信用を築く鍵である。</t>
        </is>
      </c>
    </row>
    <row r="50" ht="24" customHeight="1">
      <c r="A50" s="28" t="inlineStr">
        <is>
          <t>Q45</t>
        </is>
      </c>
      <c r="B50" s="9" t="n">
        <v>445</v>
      </c>
      <c r="C50" s="29" t="inlineStr">
        <is>
          <t>配管工</t>
        </is>
      </c>
      <c r="D50" s="28" t="inlineStr">
        <is>
          <t>名詞</t>
        </is>
      </c>
      <c r="E50" s="30" t="inlineStr">
        <is>
          <t>decade</t>
        </is>
      </c>
      <c r="F50" s="30" t="inlineStr">
        <is>
          <t>income</t>
        </is>
      </c>
      <c r="G50" s="30" t="inlineStr">
        <is>
          <t>plumber</t>
        </is>
      </c>
      <c r="H50" s="30" t="inlineStr">
        <is>
          <t>necessary</t>
        </is>
      </c>
      <c r="I50" s="30" t="inlineStr">
        <is>
          <t>commute</t>
        </is>
      </c>
      <c r="J50" s="30" t="inlineStr">
        <is>
          <t>lack</t>
        </is>
      </c>
      <c r="K50" s="30" t="inlineStr">
        <is>
          <t>invoice</t>
        </is>
      </c>
      <c r="L50" s="30" t="inlineStr">
        <is>
          <t>conversation</t>
        </is>
      </c>
      <c r="M50" s="30" t="inlineStr">
        <is>
          <t>property</t>
        </is>
      </c>
      <c r="N50" s="30" t="inlineStr">
        <is>
          <t>ride</t>
        </is>
      </c>
      <c r="O50" s="31" t="inlineStr"/>
      <c r="P50" s="32">
        <f>IF(ISBLANK(O50), "", IF(TRIM(UPPER(O50))=TRIM(UPPER(Q50)), "○ 正解", "× 不正解"))</f>
        <v/>
      </c>
      <c r="Q50" s="32" t="inlineStr">
        <is>
          <t>C</t>
        </is>
      </c>
      <c r="R50" s="33" t="inlineStr">
        <is>
          <t>plumber</t>
        </is>
      </c>
      <c r="S50" s="34" t="inlineStr">
        <is>
          <t>I called the plumber to fix the sink.</t>
        </is>
      </c>
      <c r="T50" s="34" t="inlineStr">
        <is>
          <t>流しを修理するために配管工に電話した。</t>
        </is>
      </c>
    </row>
    <row r="51" ht="24" customHeight="1">
      <c r="A51" s="35" t="inlineStr">
        <is>
          <t>Q46</t>
        </is>
      </c>
      <c r="B51" s="4" t="n">
        <v>446</v>
      </c>
      <c r="C51" s="36" t="inlineStr">
        <is>
          <t>更新する</t>
        </is>
      </c>
      <c r="D51" s="35" t="inlineStr">
        <is>
          <t>動詞</t>
        </is>
      </c>
      <c r="E51" s="37" t="inlineStr">
        <is>
          <t>routine</t>
        </is>
      </c>
      <c r="F51" s="37" t="inlineStr">
        <is>
          <t>restore</t>
        </is>
      </c>
      <c r="G51" s="37" t="inlineStr">
        <is>
          <t>remind</t>
        </is>
      </c>
      <c r="H51" s="37" t="inlineStr">
        <is>
          <t>expire</t>
        </is>
      </c>
      <c r="I51" s="37" t="inlineStr">
        <is>
          <t>broad</t>
        </is>
      </c>
      <c r="J51" s="37" t="inlineStr">
        <is>
          <t>chemical</t>
        </is>
      </c>
      <c r="K51" s="37" t="inlineStr">
        <is>
          <t>relaxed</t>
        </is>
      </c>
      <c r="L51" s="37" t="inlineStr">
        <is>
          <t>status</t>
        </is>
      </c>
      <c r="M51" s="37" t="inlineStr">
        <is>
          <t>reputation</t>
        </is>
      </c>
      <c r="N51" s="37" t="inlineStr">
        <is>
          <t>update</t>
        </is>
      </c>
      <c r="O51" s="31" t="inlineStr"/>
      <c r="P51" s="38">
        <f>IF(ISBLANK(O51), "", IF(TRIM(UPPER(O51))=TRIM(UPPER(Q51)), "○ 正解", "× 不正解"))</f>
        <v/>
      </c>
      <c r="Q51" s="38" t="inlineStr">
        <is>
          <t>J</t>
        </is>
      </c>
      <c r="R51" s="39" t="inlineStr">
        <is>
          <t>update</t>
        </is>
      </c>
      <c r="S51" s="40" t="inlineStr">
        <is>
          <t>We update our Web site daily.</t>
        </is>
      </c>
      <c r="T51" s="40" t="inlineStr">
        <is>
          <t>私たちは毎日ウェブサイトを更新する。</t>
        </is>
      </c>
    </row>
    <row r="52" ht="24" customHeight="1">
      <c r="A52" s="28" t="inlineStr">
        <is>
          <t>Q47</t>
        </is>
      </c>
      <c r="B52" s="9" t="n">
        <v>447</v>
      </c>
      <c r="C52" s="29" t="inlineStr">
        <is>
          <t>上の階に</t>
        </is>
      </c>
      <c r="D52" s="28" t="inlineStr">
        <is>
          <t>副詞</t>
        </is>
      </c>
      <c r="E52" s="30" t="inlineStr">
        <is>
          <t>regarding</t>
        </is>
      </c>
      <c r="F52" s="30" t="inlineStr">
        <is>
          <t>status</t>
        </is>
      </c>
      <c r="G52" s="30" t="inlineStr">
        <is>
          <t>upstairs</t>
        </is>
      </c>
      <c r="H52" s="30" t="inlineStr">
        <is>
          <t>contribute</t>
        </is>
      </c>
      <c r="I52" s="30" t="inlineStr">
        <is>
          <t>attach</t>
        </is>
      </c>
      <c r="J52" s="30" t="inlineStr">
        <is>
          <t>polite</t>
        </is>
      </c>
      <c r="K52" s="30" t="inlineStr">
        <is>
          <t>assemble</t>
        </is>
      </c>
      <c r="L52" s="30" t="inlineStr">
        <is>
          <t>attention</t>
        </is>
      </c>
      <c r="M52" s="30" t="inlineStr">
        <is>
          <t>conversation</t>
        </is>
      </c>
      <c r="N52" s="30" t="inlineStr">
        <is>
          <t>compared with</t>
        </is>
      </c>
      <c r="O52" s="31" t="inlineStr"/>
      <c r="P52" s="32">
        <f>IF(ISBLANK(O52), "", IF(TRIM(UPPER(O52))=TRIM(UPPER(Q52)), "○ 正解", "× 不正解"))</f>
        <v/>
      </c>
      <c r="Q52" s="32" t="inlineStr">
        <is>
          <t>C</t>
        </is>
      </c>
      <c r="R52" s="33" t="inlineStr">
        <is>
          <t>upstairs</t>
        </is>
      </c>
      <c r="S52" s="34" t="inlineStr">
        <is>
          <t>We have a meeting room upstairs.</t>
        </is>
      </c>
      <c r="T52" s="34" t="inlineStr">
        <is>
          <t>上の階に会議用の部屋があります。</t>
        </is>
      </c>
    </row>
    <row r="53" ht="24" customHeight="1">
      <c r="A53" s="35" t="inlineStr">
        <is>
          <t>Q48</t>
        </is>
      </c>
      <c r="B53" s="4" t="n">
        <v>448</v>
      </c>
      <c r="C53" s="36" t="inlineStr">
        <is>
          <t>態度</t>
        </is>
      </c>
      <c r="D53" s="35" t="inlineStr">
        <is>
          <t>名詞</t>
        </is>
      </c>
      <c r="E53" s="37" t="inlineStr">
        <is>
          <t>cancel</t>
        </is>
      </c>
      <c r="F53" s="37" t="inlineStr">
        <is>
          <t>revise</t>
        </is>
      </c>
      <c r="G53" s="37" t="inlineStr">
        <is>
          <t>attach</t>
        </is>
      </c>
      <c r="H53" s="37" t="inlineStr">
        <is>
          <t>point out</t>
        </is>
      </c>
      <c r="I53" s="37" t="inlineStr">
        <is>
          <t>fine</t>
        </is>
      </c>
      <c r="J53" s="37" t="inlineStr">
        <is>
          <t>expert</t>
        </is>
      </c>
      <c r="K53" s="37" t="inlineStr">
        <is>
          <t>greet</t>
        </is>
      </c>
      <c r="L53" s="37" t="inlineStr">
        <is>
          <t>manner</t>
        </is>
      </c>
      <c r="M53" s="37" t="inlineStr">
        <is>
          <t>budget</t>
        </is>
      </c>
      <c r="N53" s="37" t="inlineStr">
        <is>
          <t>attention</t>
        </is>
      </c>
      <c r="O53" s="31" t="inlineStr"/>
      <c r="P53" s="38">
        <f>IF(ISBLANK(O53), "", IF(TRIM(UPPER(O53))=TRIM(UPPER(Q53)), "○ 正解", "× 不正解"))</f>
        <v/>
      </c>
      <c r="Q53" s="38" t="inlineStr">
        <is>
          <t>H</t>
        </is>
      </c>
      <c r="R53" s="39" t="inlineStr">
        <is>
          <t>manner</t>
        </is>
      </c>
      <c r="S53" s="40" t="inlineStr">
        <is>
          <t>Matt acted in a professional manner.</t>
        </is>
      </c>
      <c r="T53" s="40" t="inlineStr">
        <is>
          <t>マットはプロらしい態度で行動した。</t>
        </is>
      </c>
    </row>
    <row r="54" ht="24" customHeight="1">
      <c r="A54" s="28" t="inlineStr">
        <is>
          <t>Q49</t>
        </is>
      </c>
      <c r="B54" s="9" t="n">
        <v>449</v>
      </c>
      <c r="C54" s="29" t="inlineStr">
        <is>
          <t>考える</t>
        </is>
      </c>
      <c r="D54" s="28" t="inlineStr">
        <is>
          <t>動詞</t>
        </is>
      </c>
      <c r="E54" s="30" t="inlineStr">
        <is>
          <t>seek</t>
        </is>
      </c>
      <c r="F54" s="30" t="inlineStr">
        <is>
          <t>identify</t>
        </is>
      </c>
      <c r="G54" s="30" t="inlineStr">
        <is>
          <t>invoice</t>
        </is>
      </c>
      <c r="H54" s="30" t="inlineStr">
        <is>
          <t>host</t>
        </is>
      </c>
      <c r="I54" s="30" t="inlineStr">
        <is>
          <t>polite</t>
        </is>
      </c>
      <c r="J54" s="30" t="inlineStr">
        <is>
          <t>expert</t>
        </is>
      </c>
      <c r="K54" s="30" t="inlineStr">
        <is>
          <t>subscribe</t>
        </is>
      </c>
      <c r="L54" s="30" t="inlineStr">
        <is>
          <t>establish</t>
        </is>
      </c>
      <c r="M54" s="30" t="inlineStr">
        <is>
          <t>consider</t>
        </is>
      </c>
      <c r="N54" s="30" t="inlineStr">
        <is>
          <t>prior to</t>
        </is>
      </c>
      <c r="O54" s="31" t="inlineStr"/>
      <c r="P54" s="32">
        <f>IF(ISBLANK(O54), "", IF(TRIM(UPPER(O54))=TRIM(UPPER(Q54)), "○ 正解", "× 不正解"))</f>
        <v/>
      </c>
      <c r="Q54" s="32" t="inlineStr">
        <is>
          <t>I</t>
        </is>
      </c>
      <c r="R54" s="33" t="inlineStr">
        <is>
          <t>consider</t>
        </is>
      </c>
      <c r="S54" s="34" t="inlineStr">
        <is>
          <t>I'm considering taking the course.</t>
        </is>
      </c>
      <c r="T54" s="34" t="inlineStr">
        <is>
          <t>私はそのコースを取ろうかどうか考えている。</t>
        </is>
      </c>
    </row>
    <row r="55" ht="24" customHeight="1">
      <c r="A55" s="35" t="inlineStr">
        <is>
          <t>Q50</t>
        </is>
      </c>
      <c r="B55" s="4" t="n">
        <v>450</v>
      </c>
      <c r="C55" s="36" t="inlineStr">
        <is>
          <t>重役</t>
        </is>
      </c>
      <c r="D55" s="35" t="inlineStr">
        <is>
          <t>名詞</t>
        </is>
      </c>
      <c r="E55" s="37" t="inlineStr">
        <is>
          <t>specific</t>
        </is>
      </c>
      <c r="F55" s="37" t="inlineStr">
        <is>
          <t>property</t>
        </is>
      </c>
      <c r="G55" s="37" t="inlineStr">
        <is>
          <t>questionnaire</t>
        </is>
      </c>
      <c r="H55" s="37" t="inlineStr">
        <is>
          <t>complicated</t>
        </is>
      </c>
      <c r="I55" s="37" t="inlineStr">
        <is>
          <t>expire</t>
        </is>
      </c>
      <c r="J55" s="37" t="inlineStr">
        <is>
          <t>cause</t>
        </is>
      </c>
      <c r="K55" s="37" t="inlineStr">
        <is>
          <t>divide</t>
        </is>
      </c>
      <c r="L55" s="37" t="inlineStr">
        <is>
          <t>executive</t>
        </is>
      </c>
      <c r="M55" s="37" t="inlineStr">
        <is>
          <t>probable</t>
        </is>
      </c>
      <c r="N55" s="37" t="inlineStr">
        <is>
          <t>transfer</t>
        </is>
      </c>
      <c r="O55" s="31" t="inlineStr"/>
      <c r="P55" s="38">
        <f>IF(ISBLANK(O55), "", IF(TRIM(UPPER(O55))=TRIM(UPPER(Q55)), "○ 正解", "× 不正解"))</f>
        <v/>
      </c>
      <c r="Q55" s="38" t="inlineStr">
        <is>
          <t>H</t>
        </is>
      </c>
      <c r="R55" s="39" t="inlineStr">
        <is>
          <t>executive</t>
        </is>
      </c>
      <c r="S55" s="40" t="inlineStr">
        <is>
          <t>Ms. James is an executive of a computer company.</t>
        </is>
      </c>
      <c r="T55" s="40" t="inlineStr">
        <is>
          <t>ジェームズさんはコンピュータ会社の重役です。</t>
        </is>
      </c>
    </row>
    <row r="56" ht="24" customHeight="1">
      <c r="A56" s="28" t="inlineStr">
        <is>
          <t>Q51</t>
        </is>
      </c>
      <c r="B56" s="9" t="n">
        <v>451</v>
      </c>
      <c r="C56" s="29" t="inlineStr">
        <is>
          <t>手段</t>
        </is>
      </c>
      <c r="D56" s="28" t="inlineStr">
        <is>
          <t>名詞</t>
        </is>
      </c>
      <c r="E56" s="30" t="inlineStr">
        <is>
          <t>convince</t>
        </is>
      </c>
      <c r="F56" s="30" t="inlineStr">
        <is>
          <t>lack</t>
        </is>
      </c>
      <c r="G56" s="30" t="inlineStr">
        <is>
          <t>process</t>
        </is>
      </c>
      <c r="H56" s="30" t="inlineStr">
        <is>
          <t>association</t>
        </is>
      </c>
      <c r="I56" s="30" t="inlineStr">
        <is>
          <t>means</t>
        </is>
      </c>
      <c r="J56" s="30" t="inlineStr">
        <is>
          <t>retail</t>
        </is>
      </c>
      <c r="K56" s="30" t="inlineStr">
        <is>
          <t>education</t>
        </is>
      </c>
      <c r="L56" s="30" t="inlineStr">
        <is>
          <t>contain</t>
        </is>
      </c>
      <c r="M56" s="30" t="inlineStr">
        <is>
          <t>maximum</t>
        </is>
      </c>
      <c r="N56" s="30" t="inlineStr">
        <is>
          <t>qualified</t>
        </is>
      </c>
      <c r="O56" s="31" t="inlineStr"/>
      <c r="P56" s="32">
        <f>IF(ISBLANK(O56), "", IF(TRIM(UPPER(O56))=TRIM(UPPER(Q56)), "○ 正解", "× 不正解"))</f>
        <v/>
      </c>
      <c r="Q56" s="32" t="inlineStr">
        <is>
          <t>E</t>
        </is>
      </c>
      <c r="R56" s="33" t="inlineStr">
        <is>
          <t>means</t>
        </is>
      </c>
      <c r="S56" s="34" t="inlineStr">
        <is>
          <t>Do you have any means of identification?</t>
        </is>
      </c>
      <c r="T56" s="34" t="inlineStr">
        <is>
          <t>身元を証明する手段を何かお持ちですか。</t>
        </is>
      </c>
    </row>
    <row r="57" ht="24" customHeight="1">
      <c r="A57" s="35" t="inlineStr">
        <is>
          <t>Q52</t>
        </is>
      </c>
      <c r="B57" s="4" t="n">
        <v>452</v>
      </c>
      <c r="C57" s="36" t="inlineStr">
        <is>
          <t>〜に関する</t>
        </is>
      </c>
      <c r="D57" s="35" t="inlineStr">
        <is>
          <t>前置詞</t>
        </is>
      </c>
      <c r="E57" s="37" t="inlineStr">
        <is>
          <t>host</t>
        </is>
      </c>
      <c r="F57" s="37" t="inlineStr">
        <is>
          <t>questionnaire</t>
        </is>
      </c>
      <c r="G57" s="37" t="inlineStr">
        <is>
          <t>relocate</t>
        </is>
      </c>
      <c r="H57" s="37" t="inlineStr">
        <is>
          <t>plumber</t>
        </is>
      </c>
      <c r="I57" s="37" t="inlineStr">
        <is>
          <t>trust</t>
        </is>
      </c>
      <c r="J57" s="37" t="inlineStr">
        <is>
          <t>regarding</t>
        </is>
      </c>
      <c r="K57" s="37" t="inlineStr">
        <is>
          <t>lack</t>
        </is>
      </c>
      <c r="L57" s="37" t="inlineStr">
        <is>
          <t>attach</t>
        </is>
      </c>
      <c r="M57" s="37" t="inlineStr">
        <is>
          <t>commute</t>
        </is>
      </c>
      <c r="N57" s="37" t="inlineStr">
        <is>
          <t>chemical</t>
        </is>
      </c>
      <c r="O57" s="31" t="inlineStr"/>
      <c r="P57" s="38">
        <f>IF(ISBLANK(O57), "", IF(TRIM(UPPER(O57))=TRIM(UPPER(Q57)), "○ 正解", "× 不正解"))</f>
        <v/>
      </c>
      <c r="Q57" s="38" t="inlineStr">
        <is>
          <t>F</t>
        </is>
      </c>
      <c r="R57" s="39" t="inlineStr">
        <is>
          <t>regarding</t>
        </is>
      </c>
      <c r="S57" s="40" t="inlineStr">
        <is>
          <t>We have received your letter regarding the defective products.</t>
        </is>
      </c>
      <c r="T57" s="40" t="inlineStr">
        <is>
          <t>当社は欠陥商品に関するあなたからの手紙を受け取りました。</t>
        </is>
      </c>
    </row>
    <row r="58" ht="24" customHeight="1">
      <c r="A58" s="28" t="inlineStr">
        <is>
          <t>Q53</t>
        </is>
      </c>
      <c r="B58" s="9" t="n">
        <v>453</v>
      </c>
      <c r="C58" s="29" t="inlineStr">
        <is>
          <t>提携</t>
        </is>
      </c>
      <c r="D58" s="28" t="inlineStr">
        <is>
          <t>名詞</t>
        </is>
      </c>
      <c r="E58" s="30" t="inlineStr">
        <is>
          <t>attitude</t>
        </is>
      </c>
      <c r="F58" s="30" t="inlineStr">
        <is>
          <t>contain</t>
        </is>
      </c>
      <c r="G58" s="30" t="inlineStr">
        <is>
          <t>manner</t>
        </is>
      </c>
      <c r="H58" s="30" t="inlineStr">
        <is>
          <t>association</t>
        </is>
      </c>
      <c r="I58" s="30" t="inlineStr">
        <is>
          <t>lack</t>
        </is>
      </c>
      <c r="J58" s="30" t="inlineStr">
        <is>
          <t>reputation</t>
        </is>
      </c>
      <c r="K58" s="30" t="inlineStr">
        <is>
          <t>refuse</t>
        </is>
      </c>
      <c r="L58" s="30" t="inlineStr">
        <is>
          <t>polite</t>
        </is>
      </c>
      <c r="M58" s="30" t="inlineStr">
        <is>
          <t>transfer</t>
        </is>
      </c>
      <c r="N58" s="30" t="inlineStr">
        <is>
          <t>physical</t>
        </is>
      </c>
      <c r="O58" s="31" t="inlineStr"/>
      <c r="P58" s="32">
        <f>IF(ISBLANK(O58), "", IF(TRIM(UPPER(O58))=TRIM(UPPER(Q58)), "○ 正解", "× 不正解"))</f>
        <v/>
      </c>
      <c r="Q58" s="32" t="inlineStr">
        <is>
          <t>D</t>
        </is>
      </c>
      <c r="R58" s="33" t="inlineStr">
        <is>
          <t>association</t>
        </is>
      </c>
      <c r="S58" s="34" t="inlineStr">
        <is>
          <t>The book was published in association with the National Museum.</t>
        </is>
      </c>
      <c r="T58" s="34" t="inlineStr">
        <is>
          <t>この本は国立博物館の協力によって出版された。</t>
        </is>
      </c>
    </row>
    <row r="59" ht="24" customHeight="1">
      <c r="A59" s="35" t="inlineStr">
        <is>
          <t>Q54</t>
        </is>
      </c>
      <c r="B59" s="4" t="n">
        <v>454</v>
      </c>
      <c r="C59" s="36" t="inlineStr">
        <is>
          <t>予算</t>
        </is>
      </c>
      <c r="D59" s="35" t="inlineStr">
        <is>
          <t>名詞</t>
        </is>
      </c>
      <c r="E59" s="37" t="inlineStr">
        <is>
          <t>respectively</t>
        </is>
      </c>
      <c r="F59" s="37" t="inlineStr">
        <is>
          <t>conversation</t>
        </is>
      </c>
      <c r="G59" s="37" t="inlineStr">
        <is>
          <t>ride</t>
        </is>
      </c>
      <c r="H59" s="37" t="inlineStr">
        <is>
          <t>relaxed</t>
        </is>
      </c>
      <c r="I59" s="37" t="inlineStr">
        <is>
          <t>fine</t>
        </is>
      </c>
      <c r="J59" s="37" t="inlineStr">
        <is>
          <t>invoice</t>
        </is>
      </c>
      <c r="K59" s="37" t="inlineStr">
        <is>
          <t>budget</t>
        </is>
      </c>
      <c r="L59" s="37" t="inlineStr">
        <is>
          <t>particular</t>
        </is>
      </c>
      <c r="M59" s="37" t="inlineStr">
        <is>
          <t>pour</t>
        </is>
      </c>
      <c r="N59" s="37" t="inlineStr">
        <is>
          <t>subscribe</t>
        </is>
      </c>
      <c r="O59" s="31" t="inlineStr"/>
      <c r="P59" s="38">
        <f>IF(ISBLANK(O59), "", IF(TRIM(UPPER(O59))=TRIM(UPPER(Q59)), "○ 正解", "× 不正解"))</f>
        <v/>
      </c>
      <c r="Q59" s="38" t="inlineStr">
        <is>
          <t>G</t>
        </is>
      </c>
      <c r="R59" s="39" t="inlineStr">
        <is>
          <t>budget</t>
        </is>
      </c>
      <c r="S59" s="40" t="inlineStr">
        <is>
          <t>They're reviewing the budget for next year.</t>
        </is>
      </c>
      <c r="T59" s="40" t="inlineStr">
        <is>
          <t>彼らは来年度の予算案を検討している。</t>
        </is>
      </c>
    </row>
    <row r="60" ht="24" customHeight="1">
      <c r="A60" s="28" t="inlineStr">
        <is>
          <t>Q55</t>
        </is>
      </c>
      <c r="B60" s="9" t="n">
        <v>455</v>
      </c>
      <c r="C60" s="29" t="inlineStr">
        <is>
          <t>含む</t>
        </is>
      </c>
      <c r="D60" s="28" t="inlineStr">
        <is>
          <t>動詞</t>
        </is>
      </c>
      <c r="E60" s="30" t="inlineStr">
        <is>
          <t>stock</t>
        </is>
      </c>
      <c r="F60" s="30" t="inlineStr">
        <is>
          <t>income</t>
        </is>
      </c>
      <c r="G60" s="30" t="inlineStr">
        <is>
          <t>population</t>
        </is>
      </c>
      <c r="H60" s="30" t="inlineStr">
        <is>
          <t>venue</t>
        </is>
      </c>
      <c r="I60" s="30" t="inlineStr">
        <is>
          <t>expert</t>
        </is>
      </c>
      <c r="J60" s="30" t="inlineStr">
        <is>
          <t>subscribe</t>
        </is>
      </c>
      <c r="K60" s="30" t="inlineStr">
        <is>
          <t>factor</t>
        </is>
      </c>
      <c r="L60" s="30" t="inlineStr">
        <is>
          <t>relaxed</t>
        </is>
      </c>
      <c r="M60" s="30" t="inlineStr">
        <is>
          <t>regarding</t>
        </is>
      </c>
      <c r="N60" s="30" t="inlineStr">
        <is>
          <t>contain</t>
        </is>
      </c>
      <c r="O60" s="31" t="inlineStr"/>
      <c r="P60" s="32">
        <f>IF(ISBLANK(O60), "", IF(TRIM(UPPER(O60))=TRIM(UPPER(Q60)), "○ 正解", "× 不正解"))</f>
        <v/>
      </c>
      <c r="Q60" s="32" t="inlineStr">
        <is>
          <t>J</t>
        </is>
      </c>
      <c r="R60" s="33" t="inlineStr">
        <is>
          <t>contain</t>
        </is>
      </c>
      <c r="S60" s="34" t="inlineStr">
        <is>
          <t>This report contains information about the company's financial condition.</t>
        </is>
      </c>
      <c r="T60" s="34" t="inlineStr">
        <is>
          <t>この報告書には会社の財政状況に関する情報が含まれています。</t>
        </is>
      </c>
    </row>
    <row r="61" ht="24" customHeight="1">
      <c r="A61" s="35" t="inlineStr">
        <is>
          <t>Q56</t>
        </is>
      </c>
      <c r="B61" s="4" t="n">
        <v>456</v>
      </c>
      <c r="C61" s="36" t="inlineStr">
        <is>
          <t>〜のままでいる</t>
        </is>
      </c>
      <c r="D61" s="35" t="inlineStr">
        <is>
          <t>動詞</t>
        </is>
      </c>
      <c r="E61" s="37" t="inlineStr">
        <is>
          <t>refuse</t>
        </is>
      </c>
      <c r="F61" s="37" t="inlineStr">
        <is>
          <t>population</t>
        </is>
      </c>
      <c r="G61" s="37" t="inlineStr">
        <is>
          <t>process</t>
        </is>
      </c>
      <c r="H61" s="37" t="inlineStr">
        <is>
          <t>retail</t>
        </is>
      </c>
      <c r="I61" s="37" t="inlineStr">
        <is>
          <t>immediate</t>
        </is>
      </c>
      <c r="J61" s="37" t="inlineStr">
        <is>
          <t>remain</t>
        </is>
      </c>
      <c r="K61" s="37" t="inlineStr">
        <is>
          <t>relaxed</t>
        </is>
      </c>
      <c r="L61" s="37" t="inlineStr">
        <is>
          <t>means</t>
        </is>
      </c>
      <c r="M61" s="37" t="inlineStr">
        <is>
          <t>status</t>
        </is>
      </c>
      <c r="N61" s="37" t="inlineStr">
        <is>
          <t>upgrade</t>
        </is>
      </c>
      <c r="O61" s="31" t="inlineStr"/>
      <c r="P61" s="38">
        <f>IF(ISBLANK(O61), "", IF(TRIM(UPPER(O61))=TRIM(UPPER(Q61)), "○ 正解", "× 不正解"))</f>
        <v/>
      </c>
      <c r="Q61" s="38" t="inlineStr">
        <is>
          <t>F</t>
        </is>
      </c>
      <c r="R61" s="39" t="inlineStr">
        <is>
          <t>remain</t>
        </is>
      </c>
      <c r="S61" s="40" t="inlineStr">
        <is>
          <t>Please remain seated during take-off.</t>
        </is>
      </c>
      <c r="T61" s="40" t="inlineStr">
        <is>
          <t>離陸の際、座ったままでいてください。</t>
        </is>
      </c>
    </row>
    <row r="62" ht="24" customHeight="1">
      <c r="A62" s="28" t="inlineStr">
        <is>
          <t>Q57</t>
        </is>
      </c>
      <c r="B62" s="9" t="n">
        <v>457</v>
      </c>
      <c r="C62" s="29" t="inlineStr">
        <is>
          <t>化学薬品</t>
        </is>
      </c>
      <c r="D62" s="28" t="inlineStr">
        <is>
          <t>名詞</t>
        </is>
      </c>
      <c r="E62" s="30" t="inlineStr">
        <is>
          <t>immediate</t>
        </is>
      </c>
      <c r="F62" s="30" t="inlineStr">
        <is>
          <t>stock</t>
        </is>
      </c>
      <c r="G62" s="30" t="inlineStr">
        <is>
          <t>invoice</t>
        </is>
      </c>
      <c r="H62" s="30" t="inlineStr">
        <is>
          <t>upstairs</t>
        </is>
      </c>
      <c r="I62" s="30" t="inlineStr">
        <is>
          <t>prior to</t>
        </is>
      </c>
      <c r="J62" s="30" t="inlineStr">
        <is>
          <t>complicated</t>
        </is>
      </c>
      <c r="K62" s="30" t="inlineStr">
        <is>
          <t>means</t>
        </is>
      </c>
      <c r="L62" s="30" t="inlineStr">
        <is>
          <t>conversation</t>
        </is>
      </c>
      <c r="M62" s="30" t="inlineStr">
        <is>
          <t>physical</t>
        </is>
      </c>
      <c r="N62" s="30" t="inlineStr">
        <is>
          <t>chemical</t>
        </is>
      </c>
      <c r="O62" s="31" t="inlineStr"/>
      <c r="P62" s="32">
        <f>IF(ISBLANK(O62), "", IF(TRIM(UPPER(O62))=TRIM(UPPER(Q62)), "○ 正解", "× 不正解"))</f>
        <v/>
      </c>
      <c r="Q62" s="32" t="inlineStr">
        <is>
          <t>J</t>
        </is>
      </c>
      <c r="R62" s="33" t="inlineStr">
        <is>
          <t>chemical</t>
        </is>
      </c>
      <c r="S62" s="34" t="inlineStr">
        <is>
          <t>We use dangerous chemicals in our plant.</t>
        </is>
      </c>
      <c r="T62" s="34" t="inlineStr">
        <is>
          <t>当社の工場では危険な化学薬品を使っている。</t>
        </is>
      </c>
    </row>
    <row r="63" ht="24" customHeight="1">
      <c r="A63" s="35" t="inlineStr">
        <is>
          <t>Q58</t>
        </is>
      </c>
      <c r="B63" s="4" t="n">
        <v>458</v>
      </c>
      <c r="C63" s="36" t="inlineStr">
        <is>
          <t>実地説明をする</t>
        </is>
      </c>
      <c r="D63" s="35" t="inlineStr">
        <is>
          <t>動詞</t>
        </is>
      </c>
      <c r="E63" s="37" t="inlineStr">
        <is>
          <t>prior to</t>
        </is>
      </c>
      <c r="F63" s="37" t="inlineStr">
        <is>
          <t>mild</t>
        </is>
      </c>
      <c r="G63" s="37" t="inlineStr">
        <is>
          <t>executive</t>
        </is>
      </c>
      <c r="H63" s="37" t="inlineStr">
        <is>
          <t>exchange</t>
        </is>
      </c>
      <c r="I63" s="37" t="inlineStr">
        <is>
          <t>expire</t>
        </is>
      </c>
      <c r="J63" s="37" t="inlineStr">
        <is>
          <t>ride</t>
        </is>
      </c>
      <c r="K63" s="37" t="inlineStr">
        <is>
          <t>necessary</t>
        </is>
      </c>
      <c r="L63" s="37" t="inlineStr">
        <is>
          <t>education</t>
        </is>
      </c>
      <c r="M63" s="37" t="inlineStr">
        <is>
          <t>maximum</t>
        </is>
      </c>
      <c r="N63" s="37" t="inlineStr">
        <is>
          <t>demonstrate</t>
        </is>
      </c>
      <c r="O63" s="31" t="inlineStr"/>
      <c r="P63" s="38">
        <f>IF(ISBLANK(O63), "", IF(TRIM(UPPER(O63))=TRIM(UPPER(Q63)), "○ 正解", "× 不正解"))</f>
        <v/>
      </c>
      <c r="Q63" s="38" t="inlineStr">
        <is>
          <t>J</t>
        </is>
      </c>
      <c r="R63" s="39" t="inlineStr">
        <is>
          <t>demonstrate</t>
        </is>
      </c>
      <c r="S63" s="40" t="inlineStr">
        <is>
          <t>I'll be demonstrating some of our new products.</t>
        </is>
      </c>
      <c r="T63" s="40" t="inlineStr">
        <is>
          <t>当社の新製品のいくつかを取り出して実地説明いたします。</t>
        </is>
      </c>
    </row>
    <row r="64" ht="24" customHeight="1">
      <c r="A64" s="28" t="inlineStr">
        <is>
          <t>Q59</t>
        </is>
      </c>
      <c r="B64" s="9" t="n">
        <v>459</v>
      </c>
      <c r="C64" s="29" t="inlineStr">
        <is>
          <t>適任である</t>
        </is>
      </c>
      <c r="D64" s="28" t="inlineStr">
        <is>
          <t>形容詞</t>
        </is>
      </c>
      <c r="E64" s="30" t="inlineStr">
        <is>
          <t>complicated</t>
        </is>
      </c>
      <c r="F64" s="30" t="inlineStr">
        <is>
          <t>exchange</t>
        </is>
      </c>
      <c r="G64" s="30" t="inlineStr">
        <is>
          <t>qualified</t>
        </is>
      </c>
      <c r="H64" s="30" t="inlineStr">
        <is>
          <t>refuse</t>
        </is>
      </c>
      <c r="I64" s="30" t="inlineStr">
        <is>
          <t>specific</t>
        </is>
      </c>
      <c r="J64" s="30" t="inlineStr">
        <is>
          <t>restore</t>
        </is>
      </c>
      <c r="K64" s="30" t="inlineStr">
        <is>
          <t>extension</t>
        </is>
      </c>
      <c r="L64" s="30" t="inlineStr">
        <is>
          <t>process</t>
        </is>
      </c>
      <c r="M64" s="30" t="inlineStr">
        <is>
          <t>population</t>
        </is>
      </c>
      <c r="N64" s="30" t="inlineStr">
        <is>
          <t>regarding</t>
        </is>
      </c>
      <c r="O64" s="31" t="inlineStr"/>
      <c r="P64" s="32">
        <f>IF(ISBLANK(O64), "", IF(TRIM(UPPER(O64))=TRIM(UPPER(Q64)), "○ 正解", "× 不正解"))</f>
        <v/>
      </c>
      <c r="Q64" s="32" t="inlineStr">
        <is>
          <t>C</t>
        </is>
      </c>
      <c r="R64" s="33" t="inlineStr">
        <is>
          <t>qualified</t>
        </is>
      </c>
      <c r="S64" s="34" t="inlineStr">
        <is>
          <t>Tom is qualified for the position.</t>
        </is>
      </c>
      <c r="T64" s="34" t="inlineStr">
        <is>
          <t>トムはその職に適任である。</t>
        </is>
      </c>
    </row>
    <row r="65" ht="24" customHeight="1">
      <c r="A65" s="35" t="inlineStr">
        <is>
          <t>Q60</t>
        </is>
      </c>
      <c r="B65" s="4" t="n">
        <v>460</v>
      </c>
      <c r="C65" s="36" t="inlineStr">
        <is>
          <t>修正する</t>
        </is>
      </c>
      <c r="D65" s="35" t="inlineStr">
        <is>
          <t>動詞</t>
        </is>
      </c>
      <c r="E65" s="37" t="inlineStr">
        <is>
          <t>step down</t>
        </is>
      </c>
      <c r="F65" s="37" t="inlineStr">
        <is>
          <t>revise</t>
        </is>
      </c>
      <c r="G65" s="37" t="inlineStr">
        <is>
          <t>ride</t>
        </is>
      </c>
      <c r="H65" s="37" t="inlineStr">
        <is>
          <t>restore</t>
        </is>
      </c>
      <c r="I65" s="37" t="inlineStr">
        <is>
          <t>aware</t>
        </is>
      </c>
      <c r="J65" s="37" t="inlineStr">
        <is>
          <t>remain</t>
        </is>
      </c>
      <c r="K65" s="37" t="inlineStr">
        <is>
          <t>convince</t>
        </is>
      </c>
      <c r="L65" s="37" t="inlineStr">
        <is>
          <t>demonstrate</t>
        </is>
      </c>
      <c r="M65" s="37" t="inlineStr">
        <is>
          <t>education</t>
        </is>
      </c>
      <c r="N65" s="37" t="inlineStr">
        <is>
          <t>population</t>
        </is>
      </c>
      <c r="O65" s="31" t="inlineStr"/>
      <c r="P65" s="38">
        <f>IF(ISBLANK(O65), "", IF(TRIM(UPPER(O65))=TRIM(UPPER(Q65)), "○ 正解", "× 不正解"))</f>
        <v/>
      </c>
      <c r="Q65" s="38" t="inlineStr">
        <is>
          <t>B</t>
        </is>
      </c>
      <c r="R65" s="39" t="inlineStr">
        <is>
          <t>revise</t>
        </is>
      </c>
      <c r="S65" s="40" t="inlineStr">
        <is>
          <t>We have to revise the budget.</t>
        </is>
      </c>
      <c r="T65" s="40" t="inlineStr">
        <is>
          <t>私たちは予算を修正する必要がある。</t>
        </is>
      </c>
    </row>
    <row r="66" ht="24" customHeight="1">
      <c r="A66" s="28" t="inlineStr">
        <is>
          <t>Q61</t>
        </is>
      </c>
      <c r="B66" s="9" t="n">
        <v>461</v>
      </c>
      <c r="C66" s="29" t="inlineStr">
        <is>
          <t>くつろいだ</t>
        </is>
      </c>
      <c r="D66" s="28" t="inlineStr">
        <is>
          <t>形容詞</t>
        </is>
      </c>
      <c r="E66" s="30" t="inlineStr">
        <is>
          <t>relaxed</t>
        </is>
      </c>
      <c r="F66" s="30" t="inlineStr">
        <is>
          <t>identify</t>
        </is>
      </c>
      <c r="G66" s="30" t="inlineStr">
        <is>
          <t>contribute</t>
        </is>
      </c>
      <c r="H66" s="30" t="inlineStr">
        <is>
          <t>decade</t>
        </is>
      </c>
      <c r="I66" s="30" t="inlineStr">
        <is>
          <t>routine</t>
        </is>
      </c>
      <c r="J66" s="30" t="inlineStr">
        <is>
          <t>trust</t>
        </is>
      </c>
      <c r="K66" s="30" t="inlineStr">
        <is>
          <t>contain</t>
        </is>
      </c>
      <c r="L66" s="30" t="inlineStr">
        <is>
          <t>seek</t>
        </is>
      </c>
      <c r="M66" s="30" t="inlineStr">
        <is>
          <t>expert</t>
        </is>
      </c>
      <c r="N66" s="30" t="inlineStr">
        <is>
          <t>association</t>
        </is>
      </c>
      <c r="O66" s="31" t="inlineStr"/>
      <c r="P66" s="32">
        <f>IF(ISBLANK(O66), "", IF(TRIM(UPPER(O66))=TRIM(UPPER(Q66)), "○ 正解", "× 不正解"))</f>
        <v/>
      </c>
      <c r="Q66" s="32" t="inlineStr">
        <is>
          <t>A</t>
        </is>
      </c>
      <c r="R66" s="33" t="inlineStr">
        <is>
          <t>relaxed</t>
        </is>
      </c>
      <c r="S66" s="34" t="inlineStr">
        <is>
          <t>When she entered the room, she looked relaxed.</t>
        </is>
      </c>
      <c r="T66" s="34" t="inlineStr">
        <is>
          <t>彼女は部屋に入ってきたとき、くつろいだように見えた。</t>
        </is>
      </c>
    </row>
    <row r="67" ht="24" customHeight="1">
      <c r="A67" s="35" t="inlineStr">
        <is>
          <t>Q62</t>
        </is>
      </c>
      <c r="B67" s="4" t="n">
        <v>462</v>
      </c>
      <c r="C67" s="36" t="inlineStr">
        <is>
          <t>改良する</t>
        </is>
      </c>
      <c r="D67" s="35" t="inlineStr">
        <is>
          <t>動詞</t>
        </is>
      </c>
      <c r="E67" s="37" t="inlineStr">
        <is>
          <t>invoice</t>
        </is>
      </c>
      <c r="F67" s="37" t="inlineStr">
        <is>
          <t>accompany</t>
        </is>
      </c>
      <c r="G67" s="37" t="inlineStr">
        <is>
          <t>host</t>
        </is>
      </c>
      <c r="H67" s="37" t="inlineStr">
        <is>
          <t>obtain</t>
        </is>
      </c>
      <c r="I67" s="37" t="inlineStr">
        <is>
          <t>necessary</t>
        </is>
      </c>
      <c r="J67" s="37" t="inlineStr">
        <is>
          <t>upgrade</t>
        </is>
      </c>
      <c r="K67" s="37" t="inlineStr">
        <is>
          <t>budget</t>
        </is>
      </c>
      <c r="L67" s="37" t="inlineStr">
        <is>
          <t>cause</t>
        </is>
      </c>
      <c r="M67" s="37" t="inlineStr">
        <is>
          <t>executive</t>
        </is>
      </c>
      <c r="N67" s="37" t="inlineStr">
        <is>
          <t>polite</t>
        </is>
      </c>
      <c r="O67" s="31" t="inlineStr"/>
      <c r="P67" s="38">
        <f>IF(ISBLANK(O67), "", IF(TRIM(UPPER(O67))=TRIM(UPPER(Q67)), "○ 正解", "× 不正解"))</f>
        <v/>
      </c>
      <c r="Q67" s="38" t="inlineStr">
        <is>
          <t>F</t>
        </is>
      </c>
      <c r="R67" s="39" t="inlineStr">
        <is>
          <t>upgrade</t>
        </is>
      </c>
      <c r="S67" s="40" t="inlineStr">
        <is>
          <t>We can't afford to upgrade our facilities.</t>
        </is>
      </c>
      <c r="T67" s="40" t="inlineStr">
        <is>
          <t>私たちは設備を改良する余裕がない。</t>
        </is>
      </c>
    </row>
    <row r="68" ht="24" customHeight="1">
      <c r="A68" s="28" t="inlineStr">
        <is>
          <t>Q63</t>
        </is>
      </c>
      <c r="B68" s="9" t="n">
        <v>463</v>
      </c>
      <c r="C68" s="29" t="inlineStr">
        <is>
          <t>同行する</t>
        </is>
      </c>
      <c r="D68" s="28" t="inlineStr">
        <is>
          <t>動詞</t>
        </is>
      </c>
      <c r="E68" s="30" t="inlineStr">
        <is>
          <t>host</t>
        </is>
      </c>
      <c r="F68" s="30" t="inlineStr">
        <is>
          <t>fine</t>
        </is>
      </c>
      <c r="G68" s="30" t="inlineStr">
        <is>
          <t>influence</t>
        </is>
      </c>
      <c r="H68" s="30" t="inlineStr">
        <is>
          <t>establish</t>
        </is>
      </c>
      <c r="I68" s="30" t="inlineStr">
        <is>
          <t>accompany</t>
        </is>
      </c>
      <c r="J68" s="30" t="inlineStr">
        <is>
          <t>commute</t>
        </is>
      </c>
      <c r="K68" s="30" t="inlineStr">
        <is>
          <t>divide</t>
        </is>
      </c>
      <c r="L68" s="30" t="inlineStr">
        <is>
          <t>normally</t>
        </is>
      </c>
      <c r="M68" s="30" t="inlineStr">
        <is>
          <t>cause</t>
        </is>
      </c>
      <c r="N68" s="30" t="inlineStr">
        <is>
          <t>income</t>
        </is>
      </c>
      <c r="O68" s="31" t="inlineStr"/>
      <c r="P68" s="32">
        <f>IF(ISBLANK(O68), "", IF(TRIM(UPPER(O68))=TRIM(UPPER(Q68)), "○ 正解", "× 不正解"))</f>
        <v/>
      </c>
      <c r="Q68" s="32" t="inlineStr">
        <is>
          <t>E</t>
        </is>
      </c>
      <c r="R68" s="33" t="inlineStr">
        <is>
          <t>accompany</t>
        </is>
      </c>
      <c r="S68" s="34" t="inlineStr">
        <is>
          <t>Betty will accompany me to the conference.</t>
        </is>
      </c>
      <c r="T68" s="34" t="inlineStr">
        <is>
          <t>ベティーは私に同行して会議に行く。</t>
        </is>
      </c>
    </row>
    <row r="69" ht="24" customHeight="1">
      <c r="A69" s="35" t="inlineStr">
        <is>
          <t>Q64</t>
        </is>
      </c>
      <c r="B69" s="4" t="n">
        <v>464</v>
      </c>
      <c r="C69" s="36" t="inlineStr">
        <is>
          <t>態度(姿勢)</t>
        </is>
      </c>
      <c r="D69" s="35" t="inlineStr">
        <is>
          <t>名詞</t>
        </is>
      </c>
      <c r="E69" s="37" t="inlineStr">
        <is>
          <t>revise</t>
        </is>
      </c>
      <c r="F69" s="37" t="inlineStr">
        <is>
          <t>instant</t>
        </is>
      </c>
      <c r="G69" s="37" t="inlineStr">
        <is>
          <t>chemical</t>
        </is>
      </c>
      <c r="H69" s="37" t="inlineStr">
        <is>
          <t>attitude</t>
        </is>
      </c>
      <c r="I69" s="37" t="inlineStr">
        <is>
          <t>contain</t>
        </is>
      </c>
      <c r="J69" s="37" t="inlineStr">
        <is>
          <t>exchange</t>
        </is>
      </c>
      <c r="K69" s="37" t="inlineStr">
        <is>
          <t>inquire</t>
        </is>
      </c>
      <c r="L69" s="37" t="inlineStr">
        <is>
          <t>technique</t>
        </is>
      </c>
      <c r="M69" s="37" t="inlineStr">
        <is>
          <t>step down</t>
        </is>
      </c>
      <c r="N69" s="37" t="inlineStr">
        <is>
          <t>complicated</t>
        </is>
      </c>
      <c r="O69" s="31" t="inlineStr"/>
      <c r="P69" s="38">
        <f>IF(ISBLANK(O69), "", IF(TRIM(UPPER(O69))=TRIM(UPPER(Q69)), "○ 正解", "× 不正解"))</f>
        <v/>
      </c>
      <c r="Q69" s="38" t="inlineStr">
        <is>
          <t>D</t>
        </is>
      </c>
      <c r="R69" s="39" t="inlineStr">
        <is>
          <t>attitude</t>
        </is>
      </c>
      <c r="S69" s="40" t="inlineStr">
        <is>
          <t>He has a positive attitude to his work.</t>
        </is>
      </c>
      <c r="T69" s="40" t="inlineStr">
        <is>
          <t>彼は自分の仕事に対して積極的な態度を取っている。</t>
        </is>
      </c>
    </row>
    <row r="70" ht="24" customHeight="1">
      <c r="A70" s="28" t="inlineStr">
        <is>
          <t>Q65</t>
        </is>
      </c>
      <c r="B70" s="9" t="n">
        <v>465</v>
      </c>
      <c r="C70" s="29" t="inlineStr">
        <is>
          <t>通勤する</t>
        </is>
      </c>
      <c r="D70" s="28" t="inlineStr">
        <is>
          <t>動詞</t>
        </is>
      </c>
      <c r="E70" s="30" t="inlineStr">
        <is>
          <t>commute</t>
        </is>
      </c>
      <c r="F70" s="30" t="inlineStr">
        <is>
          <t>relocate</t>
        </is>
      </c>
      <c r="G70" s="30" t="inlineStr">
        <is>
          <t>immediate</t>
        </is>
      </c>
      <c r="H70" s="30" t="inlineStr">
        <is>
          <t>complicated</t>
        </is>
      </c>
      <c r="I70" s="30" t="inlineStr">
        <is>
          <t>economical</t>
        </is>
      </c>
      <c r="J70" s="30" t="inlineStr">
        <is>
          <t>comment</t>
        </is>
      </c>
      <c r="K70" s="30" t="inlineStr">
        <is>
          <t>identify</t>
        </is>
      </c>
      <c r="L70" s="30" t="inlineStr">
        <is>
          <t>status</t>
        </is>
      </c>
      <c r="M70" s="30" t="inlineStr">
        <is>
          <t>plumber</t>
        </is>
      </c>
      <c r="N70" s="30" t="inlineStr">
        <is>
          <t>attach</t>
        </is>
      </c>
      <c r="O70" s="31" t="inlineStr"/>
      <c r="P70" s="32">
        <f>IF(ISBLANK(O70), "", IF(TRIM(UPPER(O70))=TRIM(UPPER(Q70)), "○ 正解", "× 不正解"))</f>
        <v/>
      </c>
      <c r="Q70" s="32" t="inlineStr">
        <is>
          <t>A</t>
        </is>
      </c>
      <c r="R70" s="33" t="inlineStr">
        <is>
          <t>commute</t>
        </is>
      </c>
      <c r="S70" s="34" t="inlineStr">
        <is>
          <t>Amanda commutes to Montreal every day.</t>
        </is>
      </c>
      <c r="T70" s="34" t="inlineStr">
        <is>
          <t>アマンダは毎日モントリオールに通っている。</t>
        </is>
      </c>
    </row>
    <row r="71" ht="24" customHeight="1">
      <c r="A71" s="35" t="inlineStr">
        <is>
          <t>Q66</t>
        </is>
      </c>
      <c r="B71" s="4" t="n">
        <v>466</v>
      </c>
      <c r="C71" s="36" t="inlineStr">
        <is>
          <t>競争力のある</t>
        </is>
      </c>
      <c r="D71" s="35" t="inlineStr">
        <is>
          <t>形容詞</t>
        </is>
      </c>
      <c r="E71" s="37" t="inlineStr">
        <is>
          <t>instant</t>
        </is>
      </c>
      <c r="F71" s="37" t="inlineStr">
        <is>
          <t>stock</t>
        </is>
      </c>
      <c r="G71" s="37" t="inlineStr">
        <is>
          <t>maximum</t>
        </is>
      </c>
      <c r="H71" s="37" t="inlineStr">
        <is>
          <t>restore</t>
        </is>
      </c>
      <c r="I71" s="37" t="inlineStr">
        <is>
          <t>point out</t>
        </is>
      </c>
      <c r="J71" s="37" t="inlineStr">
        <is>
          <t>laboratory</t>
        </is>
      </c>
      <c r="K71" s="37" t="inlineStr">
        <is>
          <t>establish</t>
        </is>
      </c>
      <c r="L71" s="37" t="inlineStr">
        <is>
          <t>manner</t>
        </is>
      </c>
      <c r="M71" s="37" t="inlineStr">
        <is>
          <t>competitive</t>
        </is>
      </c>
      <c r="N71" s="37" t="inlineStr">
        <is>
          <t>polite</t>
        </is>
      </c>
      <c r="O71" s="31" t="inlineStr"/>
      <c r="P71" s="38">
        <f>IF(ISBLANK(O71), "", IF(TRIM(UPPER(O71))=TRIM(UPPER(Q71)), "○ 正解", "× 不正解"))</f>
        <v/>
      </c>
      <c r="Q71" s="38" t="inlineStr">
        <is>
          <t>I</t>
        </is>
      </c>
      <c r="R71" s="39" t="inlineStr">
        <is>
          <t>competitive</t>
        </is>
      </c>
      <c r="S71" s="40" t="inlineStr">
        <is>
          <t>We need to cut labor costs to stay competitive.</t>
        </is>
      </c>
      <c r="T71" s="40" t="inlineStr">
        <is>
          <t>私たちは競争力を保つため、人件費を削減する必要がある。</t>
        </is>
      </c>
    </row>
    <row r="72" ht="24" customHeight="1">
      <c r="A72" s="28" t="inlineStr">
        <is>
          <t>Q67</t>
        </is>
      </c>
      <c r="B72" s="9" t="n">
        <v>467</v>
      </c>
      <c r="C72" s="29" t="inlineStr">
        <is>
          <t>拒否する</t>
        </is>
      </c>
      <c r="D72" s="28" t="inlineStr">
        <is>
          <t>動詞</t>
        </is>
      </c>
      <c r="E72" s="30" t="inlineStr">
        <is>
          <t>manner</t>
        </is>
      </c>
      <c r="F72" s="30" t="inlineStr">
        <is>
          <t>identify</t>
        </is>
      </c>
      <c r="G72" s="30" t="inlineStr">
        <is>
          <t>education</t>
        </is>
      </c>
      <c r="H72" s="30" t="inlineStr">
        <is>
          <t>association</t>
        </is>
      </c>
      <c r="I72" s="30" t="inlineStr">
        <is>
          <t>refuse</t>
        </is>
      </c>
      <c r="J72" s="30" t="inlineStr">
        <is>
          <t>immediate</t>
        </is>
      </c>
      <c r="K72" s="30" t="inlineStr">
        <is>
          <t>factor</t>
        </is>
      </c>
      <c r="L72" s="30" t="inlineStr">
        <is>
          <t>establish</t>
        </is>
      </c>
      <c r="M72" s="30" t="inlineStr">
        <is>
          <t>aware</t>
        </is>
      </c>
      <c r="N72" s="30" t="inlineStr">
        <is>
          <t>temporary</t>
        </is>
      </c>
      <c r="O72" s="31" t="inlineStr"/>
      <c r="P72" s="32">
        <f>IF(ISBLANK(O72), "", IF(TRIM(UPPER(O72))=TRIM(UPPER(Q72)), "○ 正解", "× 不正解"))</f>
        <v/>
      </c>
      <c r="Q72" s="32" t="inlineStr">
        <is>
          <t>E</t>
        </is>
      </c>
      <c r="R72" s="33" t="inlineStr">
        <is>
          <t>refuse</t>
        </is>
      </c>
      <c r="S72" s="34" t="inlineStr">
        <is>
          <t>He refused to speak with journalists.</t>
        </is>
      </c>
      <c r="T72" s="34" t="inlineStr">
        <is>
          <t>彼は報道関係者と話をすることを拒絶した。</t>
        </is>
      </c>
    </row>
    <row r="73" ht="24" customHeight="1">
      <c r="A73" s="35" t="inlineStr">
        <is>
          <t>Q68</t>
        </is>
      </c>
      <c r="B73" s="4" t="n">
        <v>468</v>
      </c>
      <c r="C73" s="36" t="inlineStr">
        <is>
          <t>定期購読する</t>
        </is>
      </c>
      <c r="D73" s="35" t="inlineStr">
        <is>
          <t>動詞</t>
        </is>
      </c>
      <c r="E73" s="37" t="inlineStr">
        <is>
          <t>status</t>
        </is>
      </c>
      <c r="F73" s="37" t="inlineStr">
        <is>
          <t>education</t>
        </is>
      </c>
      <c r="G73" s="37" t="inlineStr">
        <is>
          <t>decade</t>
        </is>
      </c>
      <c r="H73" s="37" t="inlineStr">
        <is>
          <t>contribute</t>
        </is>
      </c>
      <c r="I73" s="37" t="inlineStr">
        <is>
          <t>budget</t>
        </is>
      </c>
      <c r="J73" s="37" t="inlineStr">
        <is>
          <t>refreshment</t>
        </is>
      </c>
      <c r="K73" s="37" t="inlineStr">
        <is>
          <t>complicated</t>
        </is>
      </c>
      <c r="L73" s="37" t="inlineStr">
        <is>
          <t>point out</t>
        </is>
      </c>
      <c r="M73" s="37" t="inlineStr">
        <is>
          <t>compared with</t>
        </is>
      </c>
      <c r="N73" s="37" t="inlineStr">
        <is>
          <t>subscribe</t>
        </is>
      </c>
      <c r="O73" s="31" t="inlineStr"/>
      <c r="P73" s="38">
        <f>IF(ISBLANK(O73), "", IF(TRIM(UPPER(O73))=TRIM(UPPER(Q73)), "○ 正解", "× 不正解"))</f>
        <v/>
      </c>
      <c r="Q73" s="38" t="inlineStr">
        <is>
          <t>J</t>
        </is>
      </c>
      <c r="R73" s="39" t="inlineStr">
        <is>
          <t>subscribe</t>
        </is>
      </c>
      <c r="S73" s="40" t="inlineStr">
        <is>
          <t>I subscribe to Business Weekly.</t>
        </is>
      </c>
      <c r="T73" s="40" t="inlineStr">
        <is>
          <t>私はビジネスウィークリーを定期購読している。</t>
        </is>
      </c>
    </row>
    <row r="74" ht="24" customHeight="1">
      <c r="A74" s="28" t="inlineStr">
        <is>
          <t>Q69</t>
        </is>
      </c>
      <c r="B74" s="9" t="n">
        <v>469</v>
      </c>
      <c r="C74" s="29" t="inlineStr">
        <is>
          <t>処理する</t>
        </is>
      </c>
      <c r="D74" s="28" t="inlineStr">
        <is>
          <t>動詞</t>
        </is>
      </c>
      <c r="E74" s="30" t="inlineStr">
        <is>
          <t>commute</t>
        </is>
      </c>
      <c r="F74" s="30" t="inlineStr">
        <is>
          <t>resign</t>
        </is>
      </c>
      <c r="G74" s="30" t="inlineStr">
        <is>
          <t>status</t>
        </is>
      </c>
      <c r="H74" s="30" t="inlineStr">
        <is>
          <t>respectively</t>
        </is>
      </c>
      <c r="I74" s="30" t="inlineStr">
        <is>
          <t>establish</t>
        </is>
      </c>
      <c r="J74" s="30" t="inlineStr">
        <is>
          <t>point out</t>
        </is>
      </c>
      <c r="K74" s="30" t="inlineStr">
        <is>
          <t>property</t>
        </is>
      </c>
      <c r="L74" s="30" t="inlineStr">
        <is>
          <t>complicated</t>
        </is>
      </c>
      <c r="M74" s="30" t="inlineStr">
        <is>
          <t>expense</t>
        </is>
      </c>
      <c r="N74" s="30" t="inlineStr">
        <is>
          <t>process</t>
        </is>
      </c>
      <c r="O74" s="31" t="inlineStr"/>
      <c r="P74" s="32">
        <f>IF(ISBLANK(O74), "", IF(TRIM(UPPER(O74))=TRIM(UPPER(Q74)), "○ 正解", "× 不正解"))</f>
        <v/>
      </c>
      <c r="Q74" s="32" t="inlineStr">
        <is>
          <t>J</t>
        </is>
      </c>
      <c r="R74" s="33" t="inlineStr">
        <is>
          <t>process</t>
        </is>
      </c>
      <c r="S74" s="34" t="inlineStr">
        <is>
          <t>It will take two weeks to process your visa application.</t>
        </is>
      </c>
      <c r="T74" s="34" t="inlineStr">
        <is>
          <t>あなたのビザ申請を処理するのに2週間かかります。</t>
        </is>
      </c>
    </row>
    <row r="75" ht="24" customHeight="1">
      <c r="A75" s="35" t="inlineStr">
        <is>
          <t>Q70</t>
        </is>
      </c>
      <c r="B75" s="4" t="n">
        <v>470</v>
      </c>
      <c r="C75" s="36" t="inlineStr">
        <is>
          <t>意見</t>
        </is>
      </c>
      <c r="D75" s="35" t="inlineStr">
        <is>
          <t>名詞</t>
        </is>
      </c>
      <c r="E75" s="37" t="inlineStr">
        <is>
          <t>compared with</t>
        </is>
      </c>
      <c r="F75" s="37" t="inlineStr">
        <is>
          <t>comment</t>
        </is>
      </c>
      <c r="G75" s="37" t="inlineStr">
        <is>
          <t>questionnaire</t>
        </is>
      </c>
      <c r="H75" s="37" t="inlineStr">
        <is>
          <t>fine</t>
        </is>
      </c>
      <c r="I75" s="37" t="inlineStr">
        <is>
          <t>decade</t>
        </is>
      </c>
      <c r="J75" s="37" t="inlineStr">
        <is>
          <t>competitive</t>
        </is>
      </c>
      <c r="K75" s="37" t="inlineStr">
        <is>
          <t>refreshment</t>
        </is>
      </c>
      <c r="L75" s="37" t="inlineStr">
        <is>
          <t>commute</t>
        </is>
      </c>
      <c r="M75" s="37" t="inlineStr">
        <is>
          <t>particular</t>
        </is>
      </c>
      <c r="N75" s="37" t="inlineStr">
        <is>
          <t>step down</t>
        </is>
      </c>
      <c r="O75" s="31" t="inlineStr"/>
      <c r="P75" s="38">
        <f>IF(ISBLANK(O75), "", IF(TRIM(UPPER(O75))=TRIM(UPPER(Q75)), "○ 正解", "× 不正解"))</f>
        <v/>
      </c>
      <c r="Q75" s="38" t="inlineStr">
        <is>
          <t>B</t>
        </is>
      </c>
      <c r="R75" s="39" t="inlineStr">
        <is>
          <t>comment</t>
        </is>
      </c>
      <c r="S75" s="40" t="inlineStr">
        <is>
          <t>He made helpful comments on my proposal.</t>
        </is>
      </c>
      <c r="T75" s="40" t="inlineStr">
        <is>
          <t>彼は私の企画書に有益な意見を出してくれた。</t>
        </is>
      </c>
    </row>
    <row r="76" ht="24" customHeight="1">
      <c r="A76" s="28" t="inlineStr">
        <is>
          <t>Q71</t>
        </is>
      </c>
      <c r="B76" s="9" t="n">
        <v>471</v>
      </c>
      <c r="C76" s="29" t="inlineStr">
        <is>
          <t>必要な</t>
        </is>
      </c>
      <c r="D76" s="28" t="inlineStr">
        <is>
          <t>形容詞</t>
        </is>
      </c>
      <c r="E76" s="30" t="inlineStr">
        <is>
          <t>budget</t>
        </is>
      </c>
      <c r="F76" s="30" t="inlineStr">
        <is>
          <t>expire</t>
        </is>
      </c>
      <c r="G76" s="30" t="inlineStr">
        <is>
          <t>necessary</t>
        </is>
      </c>
      <c r="H76" s="30" t="inlineStr">
        <is>
          <t>association</t>
        </is>
      </c>
      <c r="I76" s="30" t="inlineStr">
        <is>
          <t>temporary</t>
        </is>
      </c>
      <c r="J76" s="30" t="inlineStr">
        <is>
          <t>upstairs</t>
        </is>
      </c>
      <c r="K76" s="30" t="inlineStr">
        <is>
          <t>particular</t>
        </is>
      </c>
      <c r="L76" s="30" t="inlineStr">
        <is>
          <t>attitude</t>
        </is>
      </c>
      <c r="M76" s="30" t="inlineStr">
        <is>
          <t>venue</t>
        </is>
      </c>
      <c r="N76" s="30" t="inlineStr">
        <is>
          <t>contribute</t>
        </is>
      </c>
      <c r="O76" s="31" t="inlineStr"/>
      <c r="P76" s="32">
        <f>IF(ISBLANK(O76), "", IF(TRIM(UPPER(O76))=TRIM(UPPER(Q76)), "○ 正解", "× 不正解"))</f>
        <v/>
      </c>
      <c r="Q76" s="32" t="inlineStr">
        <is>
          <t>C</t>
        </is>
      </c>
      <c r="R76" s="33" t="inlineStr">
        <is>
          <t>necessary</t>
        </is>
      </c>
      <c r="S76" s="34" t="inlineStr">
        <is>
          <t>Is it necessary to fill out this form?</t>
        </is>
      </c>
      <c r="T76" s="34" t="inlineStr">
        <is>
          <t>この用紙に記入する必要がありますか。</t>
        </is>
      </c>
    </row>
    <row r="77" ht="24" customHeight="1">
      <c r="A77" s="35" t="inlineStr">
        <is>
          <t>Q72</t>
        </is>
      </c>
      <c r="B77" s="4" t="n">
        <v>472</v>
      </c>
      <c r="C77" s="36" t="inlineStr">
        <is>
          <t>それぞれ</t>
        </is>
      </c>
      <c r="D77" s="35" t="inlineStr">
        <is>
          <t>副詞</t>
        </is>
      </c>
      <c r="E77" s="37" t="inlineStr">
        <is>
          <t>contribute</t>
        </is>
      </c>
      <c r="F77" s="37" t="inlineStr">
        <is>
          <t>step down</t>
        </is>
      </c>
      <c r="G77" s="37" t="inlineStr">
        <is>
          <t>remain</t>
        </is>
      </c>
      <c r="H77" s="37" t="inlineStr">
        <is>
          <t>decade</t>
        </is>
      </c>
      <c r="I77" s="37" t="inlineStr">
        <is>
          <t>education</t>
        </is>
      </c>
      <c r="J77" s="37" t="inlineStr">
        <is>
          <t>refuse</t>
        </is>
      </c>
      <c r="K77" s="37" t="inlineStr">
        <is>
          <t>respectively</t>
        </is>
      </c>
      <c r="L77" s="37" t="inlineStr">
        <is>
          <t>specific</t>
        </is>
      </c>
      <c r="M77" s="37" t="inlineStr">
        <is>
          <t>attention</t>
        </is>
      </c>
      <c r="N77" s="37" t="inlineStr">
        <is>
          <t>process</t>
        </is>
      </c>
      <c r="O77" s="31" t="inlineStr"/>
      <c r="P77" s="38">
        <f>IF(ISBLANK(O77), "", IF(TRIM(UPPER(O77))=TRIM(UPPER(Q77)), "○ 正解", "× 不正解"))</f>
        <v/>
      </c>
      <c r="Q77" s="38" t="inlineStr">
        <is>
          <t>G</t>
        </is>
      </c>
      <c r="R77" s="39" t="inlineStr">
        <is>
          <t>respectively</t>
        </is>
      </c>
      <c r="S77" s="40" t="inlineStr">
        <is>
          <t>Auckland and Sydney were ranked fifth and tenth, respectively.</t>
        </is>
      </c>
      <c r="T77" s="40" t="inlineStr">
        <is>
          <t>オークランドとシドニーはそれぞれ5位と10位にランク付けされた。</t>
        </is>
      </c>
    </row>
    <row r="78" ht="24" customHeight="1">
      <c r="A78" s="28" t="inlineStr">
        <is>
          <t>Q73</t>
        </is>
      </c>
      <c r="B78" s="9" t="n">
        <v>473</v>
      </c>
      <c r="C78" s="29" t="inlineStr">
        <is>
          <t>起こりそうな</t>
        </is>
      </c>
      <c r="D78" s="28" t="inlineStr">
        <is>
          <t>形容詞</t>
        </is>
      </c>
      <c r="E78" s="30" t="inlineStr">
        <is>
          <t>retail</t>
        </is>
      </c>
      <c r="F78" s="30" t="inlineStr">
        <is>
          <t>executive</t>
        </is>
      </c>
      <c r="G78" s="30" t="inlineStr">
        <is>
          <t>regarding</t>
        </is>
      </c>
      <c r="H78" s="30" t="inlineStr">
        <is>
          <t>contribute</t>
        </is>
      </c>
      <c r="I78" s="30" t="inlineStr">
        <is>
          <t>factor</t>
        </is>
      </c>
      <c r="J78" s="30" t="inlineStr">
        <is>
          <t>technique</t>
        </is>
      </c>
      <c r="K78" s="30" t="inlineStr">
        <is>
          <t>attitude</t>
        </is>
      </c>
      <c r="L78" s="30" t="inlineStr">
        <is>
          <t>probable</t>
        </is>
      </c>
      <c r="M78" s="30" t="inlineStr">
        <is>
          <t>education</t>
        </is>
      </c>
      <c r="N78" s="30" t="inlineStr">
        <is>
          <t>pour</t>
        </is>
      </c>
      <c r="O78" s="31" t="inlineStr"/>
      <c r="P78" s="32">
        <f>IF(ISBLANK(O78), "", IF(TRIM(UPPER(O78))=TRIM(UPPER(Q78)), "○ 正解", "× 不正解"))</f>
        <v/>
      </c>
      <c r="Q78" s="32" t="inlineStr">
        <is>
          <t>H</t>
        </is>
      </c>
      <c r="R78" s="33" t="inlineStr">
        <is>
          <t>probable</t>
        </is>
      </c>
      <c r="S78" s="34" t="inlineStr">
        <is>
          <t>It is probable that unemployment will rise further.</t>
        </is>
      </c>
      <c r="T78" s="34" t="inlineStr">
        <is>
          <t>失業率はさらに上がる見込みだ。</t>
        </is>
      </c>
    </row>
    <row r="79" ht="24" customHeight="1">
      <c r="A79" s="35" t="inlineStr">
        <is>
          <t>Q74</t>
        </is>
      </c>
      <c r="B79" s="4" t="n">
        <v>474</v>
      </c>
      <c r="C79" s="36" t="inlineStr">
        <is>
          <t>効率のよい</t>
        </is>
      </c>
      <c r="D79" s="35" t="inlineStr">
        <is>
          <t>形容詞</t>
        </is>
      </c>
      <c r="E79" s="37" t="inlineStr">
        <is>
          <t>accompany</t>
        </is>
      </c>
      <c r="F79" s="37" t="inlineStr">
        <is>
          <t>identify</t>
        </is>
      </c>
      <c r="G79" s="37" t="inlineStr">
        <is>
          <t>efficient</t>
        </is>
      </c>
      <c r="H79" s="37" t="inlineStr">
        <is>
          <t>maximum</t>
        </is>
      </c>
      <c r="I79" s="37" t="inlineStr">
        <is>
          <t>physical</t>
        </is>
      </c>
      <c r="J79" s="37" t="inlineStr">
        <is>
          <t>relocate</t>
        </is>
      </c>
      <c r="K79" s="37" t="inlineStr">
        <is>
          <t>regarding</t>
        </is>
      </c>
      <c r="L79" s="37" t="inlineStr">
        <is>
          <t>qualified</t>
        </is>
      </c>
      <c r="M79" s="37" t="inlineStr">
        <is>
          <t>laboratory</t>
        </is>
      </c>
      <c r="N79" s="37" t="inlineStr">
        <is>
          <t>remind</t>
        </is>
      </c>
      <c r="O79" s="31" t="inlineStr"/>
      <c r="P79" s="38">
        <f>IF(ISBLANK(O79), "", IF(TRIM(UPPER(O79))=TRIM(UPPER(Q79)), "○ 正解", "× 不正解"))</f>
        <v/>
      </c>
      <c r="Q79" s="38" t="inlineStr">
        <is>
          <t>C</t>
        </is>
      </c>
      <c r="R79" s="39" t="inlineStr">
        <is>
          <t>efficient</t>
        </is>
      </c>
      <c r="S79" s="40" t="inlineStr">
        <is>
          <t>We need more efficient methods of collecting data.</t>
        </is>
      </c>
      <c r="T79" s="40" t="inlineStr">
        <is>
          <t>私たちはもっと効率のよいデータ収集方法が必要です。</t>
        </is>
      </c>
    </row>
    <row r="80" ht="24" customHeight="1">
      <c r="A80" s="28" t="inlineStr">
        <is>
          <t>Q75</t>
        </is>
      </c>
      <c r="B80" s="9" t="n">
        <v>475</v>
      </c>
      <c r="C80" s="29" t="inlineStr">
        <is>
          <t>明らかにする</t>
        </is>
      </c>
      <c r="D80" s="28" t="inlineStr">
        <is>
          <t>動詞</t>
        </is>
      </c>
      <c r="E80" s="30" t="inlineStr">
        <is>
          <t>means</t>
        </is>
      </c>
      <c r="F80" s="30" t="inlineStr">
        <is>
          <t>demonstrate</t>
        </is>
      </c>
      <c r="G80" s="30" t="inlineStr">
        <is>
          <t>qualified</t>
        </is>
      </c>
      <c r="H80" s="30" t="inlineStr">
        <is>
          <t>identify</t>
        </is>
      </c>
      <c r="I80" s="30" t="inlineStr">
        <is>
          <t>cancel</t>
        </is>
      </c>
      <c r="J80" s="30" t="inlineStr">
        <is>
          <t>refuse</t>
        </is>
      </c>
      <c r="K80" s="30" t="inlineStr">
        <is>
          <t>complicated</t>
        </is>
      </c>
      <c r="L80" s="30" t="inlineStr">
        <is>
          <t>seek</t>
        </is>
      </c>
      <c r="M80" s="30" t="inlineStr">
        <is>
          <t>accompany</t>
        </is>
      </c>
      <c r="N80" s="30" t="inlineStr">
        <is>
          <t>assemble</t>
        </is>
      </c>
      <c r="O80" s="31" t="inlineStr"/>
      <c r="P80" s="32">
        <f>IF(ISBLANK(O80), "", IF(TRIM(UPPER(O80))=TRIM(UPPER(Q80)), "○ 正解", "× 不正解"))</f>
        <v/>
      </c>
      <c r="Q80" s="32" t="inlineStr">
        <is>
          <t>D</t>
        </is>
      </c>
      <c r="R80" s="33" t="inlineStr">
        <is>
          <t>identify</t>
        </is>
      </c>
      <c r="S80" s="34" t="inlineStr">
        <is>
          <t>First, we must identify problem areas.</t>
        </is>
      </c>
      <c r="T80" s="34" t="inlineStr">
        <is>
          <t>はじめに私たちは問題点を明らかにしなければならない。</t>
        </is>
      </c>
    </row>
    <row r="81" ht="24" customHeight="1">
      <c r="A81" s="35" t="inlineStr">
        <is>
          <t>Q76</t>
        </is>
      </c>
      <c r="B81" s="4" t="n">
        <v>476</v>
      </c>
      <c r="C81" s="36" t="inlineStr">
        <is>
          <t>特定の</t>
        </is>
      </c>
      <c r="D81" s="35" t="inlineStr">
        <is>
          <t>形容詞</t>
        </is>
      </c>
      <c r="E81" s="37" t="inlineStr">
        <is>
          <t>trust</t>
        </is>
      </c>
      <c r="F81" s="37" t="inlineStr">
        <is>
          <t>influence</t>
        </is>
      </c>
      <c r="G81" s="37" t="inlineStr">
        <is>
          <t>commute</t>
        </is>
      </c>
      <c r="H81" s="37" t="inlineStr">
        <is>
          <t>assemble</t>
        </is>
      </c>
      <c r="I81" s="37" t="inlineStr">
        <is>
          <t>relocate</t>
        </is>
      </c>
      <c r="J81" s="37" t="inlineStr">
        <is>
          <t>relaxed</t>
        </is>
      </c>
      <c r="K81" s="37" t="inlineStr">
        <is>
          <t>retail</t>
        </is>
      </c>
      <c r="L81" s="37" t="inlineStr">
        <is>
          <t>update</t>
        </is>
      </c>
      <c r="M81" s="37" t="inlineStr">
        <is>
          <t>revise</t>
        </is>
      </c>
      <c r="N81" s="37" t="inlineStr">
        <is>
          <t>particular</t>
        </is>
      </c>
      <c r="O81" s="31" t="inlineStr"/>
      <c r="P81" s="38">
        <f>IF(ISBLANK(O81), "", IF(TRIM(UPPER(O81))=TRIM(UPPER(Q81)), "○ 正解", "× 不正解"))</f>
        <v/>
      </c>
      <c r="Q81" s="38" t="inlineStr">
        <is>
          <t>J</t>
        </is>
      </c>
      <c r="R81" s="39" t="inlineStr">
        <is>
          <t>particular</t>
        </is>
      </c>
      <c r="S81" s="40" t="inlineStr">
        <is>
          <t>Is there any particular movie you want to see?</t>
        </is>
      </c>
      <c r="T81" s="40" t="inlineStr">
        <is>
          <t>何か特に見たい映画はありますか。</t>
        </is>
      </c>
    </row>
    <row r="82" ht="24" customHeight="1">
      <c r="A82" s="28" t="inlineStr">
        <is>
          <t>Q77</t>
        </is>
      </c>
      <c r="B82" s="9" t="n">
        <v>477</v>
      </c>
      <c r="C82" s="29" t="inlineStr">
        <is>
          <t>移転する</t>
        </is>
      </c>
      <c r="D82" s="28" t="inlineStr">
        <is>
          <t>動詞</t>
        </is>
      </c>
      <c r="E82" s="30" t="inlineStr">
        <is>
          <t>common</t>
        </is>
      </c>
      <c r="F82" s="30" t="inlineStr">
        <is>
          <t>regarding</t>
        </is>
      </c>
      <c r="G82" s="30" t="inlineStr">
        <is>
          <t>relocate</t>
        </is>
      </c>
      <c r="H82" s="30" t="inlineStr">
        <is>
          <t>contribute</t>
        </is>
      </c>
      <c r="I82" s="30" t="inlineStr">
        <is>
          <t>maximum</t>
        </is>
      </c>
      <c r="J82" s="30" t="inlineStr">
        <is>
          <t>competitive</t>
        </is>
      </c>
      <c r="K82" s="30" t="inlineStr">
        <is>
          <t>restore</t>
        </is>
      </c>
      <c r="L82" s="30" t="inlineStr">
        <is>
          <t>attitude</t>
        </is>
      </c>
      <c r="M82" s="30" t="inlineStr">
        <is>
          <t>upgrade</t>
        </is>
      </c>
      <c r="N82" s="30" t="inlineStr">
        <is>
          <t>demonstrate</t>
        </is>
      </c>
      <c r="O82" s="31" t="inlineStr"/>
      <c r="P82" s="32">
        <f>IF(ISBLANK(O82), "", IF(TRIM(UPPER(O82))=TRIM(UPPER(Q82)), "○ 正解", "× 不正解"))</f>
        <v/>
      </c>
      <c r="Q82" s="32" t="inlineStr">
        <is>
          <t>C</t>
        </is>
      </c>
      <c r="R82" s="33" t="inlineStr">
        <is>
          <t>relocate</t>
        </is>
      </c>
      <c r="S82" s="34" t="inlineStr">
        <is>
          <t>The company relocated to Los Angeles.</t>
        </is>
      </c>
      <c r="T82" s="34" t="inlineStr">
        <is>
          <t>その会社はロサンゼルスに移転した。</t>
        </is>
      </c>
    </row>
    <row r="83" ht="24" customHeight="1">
      <c r="A83" s="35" t="inlineStr">
        <is>
          <t>Q78</t>
        </is>
      </c>
      <c r="B83" s="4" t="n">
        <v>478</v>
      </c>
      <c r="C83" s="36" t="inlineStr">
        <is>
          <t>思い出させる</t>
        </is>
      </c>
      <c r="D83" s="35" t="inlineStr">
        <is>
          <t>動詞</t>
        </is>
      </c>
      <c r="E83" s="37" t="inlineStr">
        <is>
          <t>refuse</t>
        </is>
      </c>
      <c r="F83" s="37" t="inlineStr">
        <is>
          <t>remind</t>
        </is>
      </c>
      <c r="G83" s="37" t="inlineStr">
        <is>
          <t>attention</t>
        </is>
      </c>
      <c r="H83" s="37" t="inlineStr">
        <is>
          <t>questionnaire</t>
        </is>
      </c>
      <c r="I83" s="37" t="inlineStr">
        <is>
          <t>technique</t>
        </is>
      </c>
      <c r="J83" s="37" t="inlineStr">
        <is>
          <t>venue</t>
        </is>
      </c>
      <c r="K83" s="37" t="inlineStr">
        <is>
          <t>attach</t>
        </is>
      </c>
      <c r="L83" s="37" t="inlineStr">
        <is>
          <t>budget</t>
        </is>
      </c>
      <c r="M83" s="37" t="inlineStr">
        <is>
          <t>expert</t>
        </is>
      </c>
      <c r="N83" s="37" t="inlineStr">
        <is>
          <t>efficient</t>
        </is>
      </c>
      <c r="O83" s="31" t="inlineStr"/>
      <c r="P83" s="38">
        <f>IF(ISBLANK(O83), "", IF(TRIM(UPPER(O83))=TRIM(UPPER(Q83)), "○ 正解", "× 不正解"))</f>
        <v/>
      </c>
      <c r="Q83" s="38" t="inlineStr">
        <is>
          <t>B</t>
        </is>
      </c>
      <c r="R83" s="39" t="inlineStr">
        <is>
          <t>remind</t>
        </is>
      </c>
      <c r="S83" s="40" t="inlineStr">
        <is>
          <t>My secretary reminded me about the meeting tomorrow.</t>
        </is>
      </c>
      <c r="T83" s="40" t="inlineStr">
        <is>
          <t>秘書が私に明日の会議のことを思い出させてくれた。</t>
        </is>
      </c>
    </row>
    <row r="84" ht="24" customHeight="1">
      <c r="A84" s="28" t="inlineStr">
        <is>
          <t>Q79</t>
        </is>
      </c>
      <c r="B84" s="9" t="n">
        <v>479</v>
      </c>
      <c r="C84" s="29" t="inlineStr">
        <is>
          <t>〜と比べて</t>
        </is>
      </c>
      <c r="D84" s="28" t="inlineStr">
        <is>
          <t>熟語</t>
        </is>
      </c>
      <c r="E84" s="30" t="inlineStr">
        <is>
          <t>instant</t>
        </is>
      </c>
      <c r="F84" s="30" t="inlineStr">
        <is>
          <t>expense</t>
        </is>
      </c>
      <c r="G84" s="30" t="inlineStr">
        <is>
          <t>fine</t>
        </is>
      </c>
      <c r="H84" s="30" t="inlineStr">
        <is>
          <t>education</t>
        </is>
      </c>
      <c r="I84" s="30" t="inlineStr">
        <is>
          <t>upstairs</t>
        </is>
      </c>
      <c r="J84" s="30" t="inlineStr">
        <is>
          <t>compared with</t>
        </is>
      </c>
      <c r="K84" s="30" t="inlineStr">
        <is>
          <t>income</t>
        </is>
      </c>
      <c r="L84" s="30" t="inlineStr">
        <is>
          <t>retail</t>
        </is>
      </c>
      <c r="M84" s="30" t="inlineStr">
        <is>
          <t>relaxed</t>
        </is>
      </c>
      <c r="N84" s="30" t="inlineStr">
        <is>
          <t>population</t>
        </is>
      </c>
      <c r="O84" s="31" t="inlineStr"/>
      <c r="P84" s="32">
        <f>IF(ISBLANK(O84), "", IF(TRIM(UPPER(O84))=TRIM(UPPER(Q84)), "○ 正解", "× 不正解"))</f>
        <v/>
      </c>
      <c r="Q84" s="32" t="inlineStr">
        <is>
          <t>F</t>
        </is>
      </c>
      <c r="R84" s="33" t="inlineStr">
        <is>
          <t>compared with</t>
        </is>
      </c>
      <c r="S84" s="34" t="inlineStr">
        <is>
          <t>Our sales rose ten percent compared with last year.</t>
        </is>
      </c>
      <c r="T84" s="34" t="inlineStr">
        <is>
          <t>当社の売り上げは昨年と比べ、10パーセント上がった。</t>
        </is>
      </c>
    </row>
    <row r="85" ht="24" customHeight="1">
      <c r="A85" s="35" t="inlineStr">
        <is>
          <t>Q80</t>
        </is>
      </c>
      <c r="B85" s="4" t="n">
        <v>480</v>
      </c>
      <c r="C85" s="36" t="inlineStr">
        <is>
          <t>設立する</t>
        </is>
      </c>
      <c r="D85" s="35" t="inlineStr">
        <is>
          <t>動詞</t>
        </is>
      </c>
      <c r="E85" s="37" t="inlineStr">
        <is>
          <t>property</t>
        </is>
      </c>
      <c r="F85" s="37" t="inlineStr">
        <is>
          <t>plumber</t>
        </is>
      </c>
      <c r="G85" s="37" t="inlineStr">
        <is>
          <t>contain</t>
        </is>
      </c>
      <c r="H85" s="37" t="inlineStr">
        <is>
          <t>influence</t>
        </is>
      </c>
      <c r="I85" s="37" t="inlineStr">
        <is>
          <t>prior to</t>
        </is>
      </c>
      <c r="J85" s="37" t="inlineStr">
        <is>
          <t>expire</t>
        </is>
      </c>
      <c r="K85" s="37" t="inlineStr">
        <is>
          <t>expert</t>
        </is>
      </c>
      <c r="L85" s="37" t="inlineStr">
        <is>
          <t>competitive</t>
        </is>
      </c>
      <c r="M85" s="37" t="inlineStr">
        <is>
          <t>routine</t>
        </is>
      </c>
      <c r="N85" s="37" t="inlineStr">
        <is>
          <t>establish</t>
        </is>
      </c>
      <c r="O85" s="31" t="inlineStr"/>
      <c r="P85" s="38">
        <f>IF(ISBLANK(O85), "", IF(TRIM(UPPER(O85))=TRIM(UPPER(Q85)), "○ 正解", "× 不正解"))</f>
        <v/>
      </c>
      <c r="Q85" s="38" t="inlineStr">
        <is>
          <t>J</t>
        </is>
      </c>
      <c r="R85" s="39" t="inlineStr">
        <is>
          <t>establish</t>
        </is>
      </c>
      <c r="S85" s="40" t="inlineStr">
        <is>
          <t>The company was established in 1967.</t>
        </is>
      </c>
      <c r="T85" s="40" t="inlineStr">
        <is>
          <t>その会社は1967年に設立された。</t>
        </is>
      </c>
    </row>
    <row r="86" ht="24" customHeight="1">
      <c r="A86" s="28" t="inlineStr">
        <is>
          <t>Q81</t>
        </is>
      </c>
      <c r="B86" s="9" t="n">
        <v>481</v>
      </c>
      <c r="C86" s="29" t="inlineStr">
        <is>
          <t>指摘する</t>
        </is>
      </c>
      <c r="D86" s="28" t="inlineStr">
        <is>
          <t>句動詞</t>
        </is>
      </c>
      <c r="E86" s="30" t="inlineStr">
        <is>
          <t>familiar</t>
        </is>
      </c>
      <c r="F86" s="30" t="inlineStr">
        <is>
          <t>ride</t>
        </is>
      </c>
      <c r="G86" s="30" t="inlineStr">
        <is>
          <t>particular</t>
        </is>
      </c>
      <c r="H86" s="30" t="inlineStr">
        <is>
          <t>expert</t>
        </is>
      </c>
      <c r="I86" s="30" t="inlineStr">
        <is>
          <t>commute</t>
        </is>
      </c>
      <c r="J86" s="30" t="inlineStr">
        <is>
          <t>compared with</t>
        </is>
      </c>
      <c r="K86" s="30" t="inlineStr">
        <is>
          <t>resign</t>
        </is>
      </c>
      <c r="L86" s="30" t="inlineStr">
        <is>
          <t>point out</t>
        </is>
      </c>
      <c r="M86" s="30" t="inlineStr">
        <is>
          <t>immediate</t>
        </is>
      </c>
      <c r="N86" s="30" t="inlineStr">
        <is>
          <t>refuse</t>
        </is>
      </c>
      <c r="O86" s="31" t="inlineStr"/>
      <c r="P86" s="32">
        <f>IF(ISBLANK(O86), "", IF(TRIM(UPPER(O86))=TRIM(UPPER(Q86)), "○ 正解", "× 不正解"))</f>
        <v/>
      </c>
      <c r="Q86" s="32" t="inlineStr">
        <is>
          <t>H</t>
        </is>
      </c>
      <c r="R86" s="33" t="inlineStr">
        <is>
          <t>point out</t>
        </is>
      </c>
      <c r="S86" s="34" t="inlineStr">
        <is>
          <t>He pointed out that these data are inaccurate.</t>
        </is>
      </c>
      <c r="T86" s="34" t="inlineStr">
        <is>
          <t>彼はこれらのデータが正確でないことを指摘した。</t>
        </is>
      </c>
    </row>
    <row r="87" ht="24" customHeight="1">
      <c r="A87" s="35" t="inlineStr">
        <is>
          <t>Q82</t>
        </is>
      </c>
      <c r="B87" s="4" t="n">
        <v>482</v>
      </c>
      <c r="C87" s="36" t="inlineStr">
        <is>
          <t>不動産</t>
        </is>
      </c>
      <c r="D87" s="35" t="inlineStr">
        <is>
          <t>名詞</t>
        </is>
      </c>
      <c r="E87" s="37" t="inlineStr">
        <is>
          <t>relocate</t>
        </is>
      </c>
      <c r="F87" s="37" t="inlineStr">
        <is>
          <t>upstairs</t>
        </is>
      </c>
      <c r="G87" s="37" t="inlineStr">
        <is>
          <t>probable</t>
        </is>
      </c>
      <c r="H87" s="37" t="inlineStr">
        <is>
          <t>invoice</t>
        </is>
      </c>
      <c r="I87" s="37" t="inlineStr">
        <is>
          <t>inquire</t>
        </is>
      </c>
      <c r="J87" s="37" t="inlineStr">
        <is>
          <t>property</t>
        </is>
      </c>
      <c r="K87" s="37" t="inlineStr">
        <is>
          <t>establish</t>
        </is>
      </c>
      <c r="L87" s="37" t="inlineStr">
        <is>
          <t>focus</t>
        </is>
      </c>
      <c r="M87" s="37" t="inlineStr">
        <is>
          <t>plumber</t>
        </is>
      </c>
      <c r="N87" s="37" t="inlineStr">
        <is>
          <t>greet</t>
        </is>
      </c>
      <c r="O87" s="31" t="inlineStr"/>
      <c r="P87" s="38">
        <f>IF(ISBLANK(O87), "", IF(TRIM(UPPER(O87))=TRIM(UPPER(Q87)), "○ 正解", "× 不正解"))</f>
        <v/>
      </c>
      <c r="Q87" s="38" t="inlineStr">
        <is>
          <t>F</t>
        </is>
      </c>
      <c r="R87" s="39" t="inlineStr">
        <is>
          <t>property</t>
        </is>
      </c>
      <c r="S87" s="40" t="inlineStr">
        <is>
          <t>Property prices are falling this month.</t>
        </is>
      </c>
      <c r="T87" s="40" t="inlineStr">
        <is>
          <t>今月、不動産の価格は下がっている。</t>
        </is>
      </c>
    </row>
    <row r="88" ht="24" customHeight="1">
      <c r="A88" s="28" t="inlineStr">
        <is>
          <t>Q83</t>
        </is>
      </c>
      <c r="B88" s="9" t="n">
        <v>483</v>
      </c>
      <c r="C88" s="29" t="inlineStr">
        <is>
          <t>修復する</t>
        </is>
      </c>
      <c r="D88" s="28" t="inlineStr">
        <is>
          <t>動詞</t>
        </is>
      </c>
      <c r="E88" s="30" t="inlineStr">
        <is>
          <t>restore</t>
        </is>
      </c>
      <c r="F88" s="30" t="inlineStr">
        <is>
          <t>status</t>
        </is>
      </c>
      <c r="G88" s="30" t="inlineStr">
        <is>
          <t>normally</t>
        </is>
      </c>
      <c r="H88" s="30" t="inlineStr">
        <is>
          <t>reputation</t>
        </is>
      </c>
      <c r="I88" s="30" t="inlineStr">
        <is>
          <t>stock</t>
        </is>
      </c>
      <c r="J88" s="30" t="inlineStr">
        <is>
          <t>aware</t>
        </is>
      </c>
      <c r="K88" s="30" t="inlineStr">
        <is>
          <t>focus</t>
        </is>
      </c>
      <c r="L88" s="30" t="inlineStr">
        <is>
          <t>inquire</t>
        </is>
      </c>
      <c r="M88" s="30" t="inlineStr">
        <is>
          <t>necessary</t>
        </is>
      </c>
      <c r="N88" s="30" t="inlineStr">
        <is>
          <t>exchange</t>
        </is>
      </c>
      <c r="O88" s="31" t="inlineStr"/>
      <c r="P88" s="32">
        <f>IF(ISBLANK(O88), "", IF(TRIM(UPPER(O88))=TRIM(UPPER(Q88)), "○ 正解", "× 不正解"))</f>
        <v/>
      </c>
      <c r="Q88" s="32" t="inlineStr">
        <is>
          <t>A</t>
        </is>
      </c>
      <c r="R88" s="33" t="inlineStr">
        <is>
          <t>restore</t>
        </is>
      </c>
      <c r="S88" s="34" t="inlineStr">
        <is>
          <t>The building was restored after the fire.</t>
        </is>
      </c>
      <c r="T88" s="34" t="inlineStr">
        <is>
          <t>その建物は火事のあと、修復された。</t>
        </is>
      </c>
    </row>
    <row r="89" ht="24" customHeight="1">
      <c r="A89" s="35" t="inlineStr">
        <is>
          <t>Q84</t>
        </is>
      </c>
      <c r="B89" s="4" t="n">
        <v>484</v>
      </c>
      <c r="C89" s="36" t="inlineStr">
        <is>
          <t>状況</t>
        </is>
      </c>
      <c r="D89" s="35" t="inlineStr">
        <is>
          <t>名詞</t>
        </is>
      </c>
      <c r="E89" s="37" t="inlineStr">
        <is>
          <t>attitude</t>
        </is>
      </c>
      <c r="F89" s="37" t="inlineStr">
        <is>
          <t>factor</t>
        </is>
      </c>
      <c r="G89" s="37" t="inlineStr">
        <is>
          <t>technique</t>
        </is>
      </c>
      <c r="H89" s="37" t="inlineStr">
        <is>
          <t>budget</t>
        </is>
      </c>
      <c r="I89" s="37" t="inlineStr">
        <is>
          <t>venue</t>
        </is>
      </c>
      <c r="J89" s="37" t="inlineStr">
        <is>
          <t>revise</t>
        </is>
      </c>
      <c r="K89" s="37" t="inlineStr">
        <is>
          <t>expert</t>
        </is>
      </c>
      <c r="L89" s="37" t="inlineStr">
        <is>
          <t>status</t>
        </is>
      </c>
      <c r="M89" s="37" t="inlineStr">
        <is>
          <t>prior to</t>
        </is>
      </c>
      <c r="N89" s="37" t="inlineStr">
        <is>
          <t>polite</t>
        </is>
      </c>
      <c r="O89" s="31" t="inlineStr"/>
      <c r="P89" s="38">
        <f>IF(ISBLANK(O89), "", IF(TRIM(UPPER(O89))=TRIM(UPPER(Q89)), "○ 正解", "× 不正解"))</f>
        <v/>
      </c>
      <c r="Q89" s="38" t="inlineStr">
        <is>
          <t>H</t>
        </is>
      </c>
      <c r="R89" s="39" t="inlineStr">
        <is>
          <t>status</t>
        </is>
      </c>
      <c r="S89" s="40" t="inlineStr">
        <is>
          <t>What's the status of our order?</t>
        </is>
      </c>
      <c r="T89" s="40" t="inlineStr">
        <is>
          <t>私たちの注文品の状況はどうなっていますか。</t>
        </is>
      </c>
    </row>
    <row r="90" ht="24" customHeight="1">
      <c r="A90" s="28" t="inlineStr">
        <is>
          <t>Q85</t>
        </is>
      </c>
      <c r="B90" s="9" t="n">
        <v>485</v>
      </c>
      <c r="C90" s="29" t="inlineStr">
        <is>
          <t>経費</t>
        </is>
      </c>
      <c r="D90" s="28" t="inlineStr">
        <is>
          <t>名詞</t>
        </is>
      </c>
      <c r="E90" s="30" t="inlineStr">
        <is>
          <t>focus</t>
        </is>
      </c>
      <c r="F90" s="30" t="inlineStr">
        <is>
          <t>update</t>
        </is>
      </c>
      <c r="G90" s="30" t="inlineStr">
        <is>
          <t>expense</t>
        </is>
      </c>
      <c r="H90" s="30" t="inlineStr">
        <is>
          <t>upstairs</t>
        </is>
      </c>
      <c r="I90" s="30" t="inlineStr">
        <is>
          <t>obtain</t>
        </is>
      </c>
      <c r="J90" s="30" t="inlineStr">
        <is>
          <t>expire</t>
        </is>
      </c>
      <c r="K90" s="30" t="inlineStr">
        <is>
          <t>instant</t>
        </is>
      </c>
      <c r="L90" s="30" t="inlineStr">
        <is>
          <t>association</t>
        </is>
      </c>
      <c r="M90" s="30" t="inlineStr">
        <is>
          <t>respectively</t>
        </is>
      </c>
      <c r="N90" s="30" t="inlineStr">
        <is>
          <t>specific</t>
        </is>
      </c>
      <c r="O90" s="31" t="inlineStr"/>
      <c r="P90" s="32">
        <f>IF(ISBLANK(O90), "", IF(TRIM(UPPER(O90))=TRIM(UPPER(Q90)), "○ 正解", "× 不正解"))</f>
        <v/>
      </c>
      <c r="Q90" s="32" t="inlineStr">
        <is>
          <t>C</t>
        </is>
      </c>
      <c r="R90" s="33" t="inlineStr">
        <is>
          <t>expense</t>
        </is>
      </c>
      <c r="S90" s="34" t="inlineStr">
        <is>
          <t>The company will cover travel expenses.</t>
        </is>
      </c>
      <c r="T90" s="34" t="inlineStr">
        <is>
          <t>会社が旅費を出してくれます。</t>
        </is>
      </c>
    </row>
    <row r="91" ht="24" customHeight="1">
      <c r="A91" s="35" t="inlineStr">
        <is>
          <t>Q86</t>
        </is>
      </c>
      <c r="B91" s="4" t="n">
        <v>486</v>
      </c>
      <c r="C91" s="36" t="inlineStr">
        <is>
          <t>焦点を合わせる</t>
        </is>
      </c>
      <c r="D91" s="35" t="inlineStr">
        <is>
          <t>動詞</t>
        </is>
      </c>
      <c r="E91" s="37" t="inlineStr">
        <is>
          <t>step down</t>
        </is>
      </c>
      <c r="F91" s="37" t="inlineStr">
        <is>
          <t>remain</t>
        </is>
      </c>
      <c r="G91" s="37" t="inlineStr">
        <is>
          <t>relocate</t>
        </is>
      </c>
      <c r="H91" s="37" t="inlineStr">
        <is>
          <t>focus</t>
        </is>
      </c>
      <c r="I91" s="37" t="inlineStr">
        <is>
          <t>familiar</t>
        </is>
      </c>
      <c r="J91" s="37" t="inlineStr">
        <is>
          <t>demonstrate</t>
        </is>
      </c>
      <c r="K91" s="37" t="inlineStr">
        <is>
          <t>competitive</t>
        </is>
      </c>
      <c r="L91" s="37" t="inlineStr">
        <is>
          <t>attitude</t>
        </is>
      </c>
      <c r="M91" s="37" t="inlineStr">
        <is>
          <t>assemble</t>
        </is>
      </c>
      <c r="N91" s="37" t="inlineStr">
        <is>
          <t>commute</t>
        </is>
      </c>
      <c r="O91" s="31" t="inlineStr"/>
      <c r="P91" s="38">
        <f>IF(ISBLANK(O91), "", IF(TRIM(UPPER(O91))=TRIM(UPPER(Q91)), "○ 正解", "× 不正解"))</f>
        <v/>
      </c>
      <c r="Q91" s="38" t="inlineStr">
        <is>
          <t>D</t>
        </is>
      </c>
      <c r="R91" s="39" t="inlineStr">
        <is>
          <t>focus</t>
        </is>
      </c>
      <c r="S91" s="40" t="inlineStr">
        <is>
          <t>The conference focuses on environmental issues.</t>
        </is>
      </c>
      <c r="T91" s="40" t="inlineStr">
        <is>
          <t>その会議は環境問題に焦点を合わせている。</t>
        </is>
      </c>
    </row>
    <row r="92" ht="24" customHeight="1">
      <c r="A92" s="28" t="inlineStr">
        <is>
          <t>Q87</t>
        </is>
      </c>
      <c r="B92" s="9" t="n">
        <v>487</v>
      </c>
      <c r="C92" s="29" t="inlineStr">
        <is>
          <t>研究所</t>
        </is>
      </c>
      <c r="D92" s="28" t="inlineStr">
        <is>
          <t>名詞</t>
        </is>
      </c>
      <c r="E92" s="30" t="inlineStr">
        <is>
          <t>laboratory</t>
        </is>
      </c>
      <c r="F92" s="30" t="inlineStr">
        <is>
          <t>lack</t>
        </is>
      </c>
      <c r="G92" s="30" t="inlineStr">
        <is>
          <t>refreshment</t>
        </is>
      </c>
      <c r="H92" s="30" t="inlineStr">
        <is>
          <t>temporary</t>
        </is>
      </c>
      <c r="I92" s="30" t="inlineStr">
        <is>
          <t>stock</t>
        </is>
      </c>
      <c r="J92" s="30" t="inlineStr">
        <is>
          <t>qualified</t>
        </is>
      </c>
      <c r="K92" s="30" t="inlineStr">
        <is>
          <t>attitude</t>
        </is>
      </c>
      <c r="L92" s="30" t="inlineStr">
        <is>
          <t>relaxed</t>
        </is>
      </c>
      <c r="M92" s="30" t="inlineStr">
        <is>
          <t>focus</t>
        </is>
      </c>
      <c r="N92" s="30" t="inlineStr">
        <is>
          <t>technique</t>
        </is>
      </c>
      <c r="O92" s="31" t="inlineStr"/>
      <c r="P92" s="32">
        <f>IF(ISBLANK(O92), "", IF(TRIM(UPPER(O92))=TRIM(UPPER(Q92)), "○ 正解", "× 不正解"))</f>
        <v/>
      </c>
      <c r="Q92" s="32" t="inlineStr">
        <is>
          <t>A</t>
        </is>
      </c>
      <c r="R92" s="33" t="inlineStr">
        <is>
          <t>laboratory</t>
        </is>
      </c>
      <c r="S92" s="34" t="inlineStr">
        <is>
          <t>The company has a research laboratory in Miami.</t>
        </is>
      </c>
      <c r="T92" s="34" t="inlineStr">
        <is>
          <t>その会社はマイアミに研究所を持っている。</t>
        </is>
      </c>
    </row>
    <row r="93" ht="24" customHeight="1">
      <c r="A93" s="35" t="inlineStr">
        <is>
          <t>Q88</t>
        </is>
      </c>
      <c r="B93" s="4" t="n">
        <v>488</v>
      </c>
      <c r="C93" s="36" t="inlineStr">
        <is>
          <t>得る</t>
        </is>
      </c>
      <c r="D93" s="35" t="inlineStr">
        <is>
          <t>動詞</t>
        </is>
      </c>
      <c r="E93" s="37" t="inlineStr">
        <is>
          <t>normally</t>
        </is>
      </c>
      <c r="F93" s="37" t="inlineStr">
        <is>
          <t>exchange</t>
        </is>
      </c>
      <c r="G93" s="37" t="inlineStr">
        <is>
          <t>manner</t>
        </is>
      </c>
      <c r="H93" s="37" t="inlineStr">
        <is>
          <t>obtain</t>
        </is>
      </c>
      <c r="I93" s="37" t="inlineStr">
        <is>
          <t>focus</t>
        </is>
      </c>
      <c r="J93" s="37" t="inlineStr">
        <is>
          <t>stock</t>
        </is>
      </c>
      <c r="K93" s="37" t="inlineStr">
        <is>
          <t>property</t>
        </is>
      </c>
      <c r="L93" s="37" t="inlineStr">
        <is>
          <t>efficient</t>
        </is>
      </c>
      <c r="M93" s="37" t="inlineStr">
        <is>
          <t>attention</t>
        </is>
      </c>
      <c r="N93" s="37" t="inlineStr">
        <is>
          <t>cause</t>
        </is>
      </c>
      <c r="O93" s="31" t="inlineStr"/>
      <c r="P93" s="38">
        <f>IF(ISBLANK(O93), "", IF(TRIM(UPPER(O93))=TRIM(UPPER(Q93)), "○ 正解", "× 不正解"))</f>
        <v/>
      </c>
      <c r="Q93" s="38" t="inlineStr">
        <is>
          <t>D</t>
        </is>
      </c>
      <c r="R93" s="39" t="inlineStr">
        <is>
          <t>obtain</t>
        </is>
      </c>
      <c r="S93" s="40" t="inlineStr">
        <is>
          <t>You must obtain permission from the publisher.</t>
        </is>
      </c>
      <c r="T93" s="40" t="inlineStr">
        <is>
          <t>あなたは出版社から許可を得なければなりません。</t>
        </is>
      </c>
    </row>
    <row r="94" ht="24" customHeight="1">
      <c r="A94" s="28" t="inlineStr">
        <is>
          <t>Q89</t>
        </is>
      </c>
      <c r="B94" s="9" t="n">
        <v>489</v>
      </c>
      <c r="C94" s="29" t="inlineStr">
        <is>
          <t>評判</t>
        </is>
      </c>
      <c r="D94" s="28" t="inlineStr">
        <is>
          <t>名詞</t>
        </is>
      </c>
      <c r="E94" s="30" t="inlineStr">
        <is>
          <t>point out</t>
        </is>
      </c>
      <c r="F94" s="30" t="inlineStr">
        <is>
          <t>attention</t>
        </is>
      </c>
      <c r="G94" s="30" t="inlineStr">
        <is>
          <t>fine</t>
        </is>
      </c>
      <c r="H94" s="30" t="inlineStr">
        <is>
          <t>laboratory</t>
        </is>
      </c>
      <c r="I94" s="30" t="inlineStr">
        <is>
          <t>contain</t>
        </is>
      </c>
      <c r="J94" s="30" t="inlineStr">
        <is>
          <t>reputation</t>
        </is>
      </c>
      <c r="K94" s="30" t="inlineStr">
        <is>
          <t>aware</t>
        </is>
      </c>
      <c r="L94" s="30" t="inlineStr">
        <is>
          <t>normally</t>
        </is>
      </c>
      <c r="M94" s="30" t="inlineStr">
        <is>
          <t>prior to</t>
        </is>
      </c>
      <c r="N94" s="30" t="inlineStr">
        <is>
          <t>chemical</t>
        </is>
      </c>
      <c r="O94" s="31" t="inlineStr"/>
      <c r="P94" s="32">
        <f>IF(ISBLANK(O94), "", IF(TRIM(UPPER(O94))=TRIM(UPPER(Q94)), "○ 正解", "× 不正解"))</f>
        <v/>
      </c>
      <c r="Q94" s="32" t="inlineStr">
        <is>
          <t>F</t>
        </is>
      </c>
      <c r="R94" s="33" t="inlineStr">
        <is>
          <t>reputation</t>
        </is>
      </c>
      <c r="S94" s="34" t="inlineStr">
        <is>
          <t>We have a reputation for quality.</t>
        </is>
      </c>
      <c r="T94" s="34" t="inlineStr">
        <is>
          <t>当社は品質の良さで評判を得ている。</t>
        </is>
      </c>
    </row>
    <row r="95" ht="24" customHeight="1">
      <c r="A95" s="35" t="inlineStr">
        <is>
          <t>Q90</t>
        </is>
      </c>
      <c r="B95" s="4" t="n">
        <v>490</v>
      </c>
      <c r="C95" s="36" t="inlineStr">
        <is>
          <t>小売り</t>
        </is>
      </c>
      <c r="D95" s="35" t="inlineStr">
        <is>
          <t>名詞</t>
        </is>
      </c>
      <c r="E95" s="37" t="inlineStr">
        <is>
          <t>lack</t>
        </is>
      </c>
      <c r="F95" s="37" t="inlineStr">
        <is>
          <t>conversation</t>
        </is>
      </c>
      <c r="G95" s="37" t="inlineStr">
        <is>
          <t>broad</t>
        </is>
      </c>
      <c r="H95" s="37" t="inlineStr">
        <is>
          <t>competitive</t>
        </is>
      </c>
      <c r="I95" s="37" t="inlineStr">
        <is>
          <t>probable</t>
        </is>
      </c>
      <c r="J95" s="37" t="inlineStr">
        <is>
          <t>step down</t>
        </is>
      </c>
      <c r="K95" s="37" t="inlineStr">
        <is>
          <t>comment</t>
        </is>
      </c>
      <c r="L95" s="37" t="inlineStr">
        <is>
          <t>education</t>
        </is>
      </c>
      <c r="M95" s="37" t="inlineStr">
        <is>
          <t>retail</t>
        </is>
      </c>
      <c r="N95" s="37" t="inlineStr">
        <is>
          <t>contain</t>
        </is>
      </c>
      <c r="O95" s="31" t="inlineStr"/>
      <c r="P95" s="38">
        <f>IF(ISBLANK(O95), "", IF(TRIM(UPPER(O95))=TRIM(UPPER(Q95)), "○ 正解", "× 不正解"))</f>
        <v/>
      </c>
      <c r="Q95" s="38" t="inlineStr">
        <is>
          <t>I</t>
        </is>
      </c>
      <c r="R95" s="39" t="inlineStr">
        <is>
          <t>retail</t>
        </is>
      </c>
      <c r="S95" s="40" t="inlineStr">
        <is>
          <t>You can buy these products at retail stores.</t>
        </is>
      </c>
      <c r="T95" s="40" t="inlineStr">
        <is>
          <t>これらの製品は小売店でご購入いただけます。</t>
        </is>
      </c>
    </row>
    <row r="96" ht="24" customHeight="1">
      <c r="A96" s="28" t="inlineStr">
        <is>
          <t>Q91</t>
        </is>
      </c>
      <c r="B96" s="9" t="n">
        <v>491</v>
      </c>
      <c r="C96" s="29" t="inlineStr">
        <is>
          <t>寄付する</t>
        </is>
      </c>
      <c r="D96" s="28" t="inlineStr">
        <is>
          <t>動詞</t>
        </is>
      </c>
      <c r="E96" s="30" t="inlineStr">
        <is>
          <t>plumber</t>
        </is>
      </c>
      <c r="F96" s="30" t="inlineStr">
        <is>
          <t>relocate</t>
        </is>
      </c>
      <c r="G96" s="30" t="inlineStr">
        <is>
          <t>immediate</t>
        </is>
      </c>
      <c r="H96" s="30" t="inlineStr">
        <is>
          <t>exchange</t>
        </is>
      </c>
      <c r="I96" s="30" t="inlineStr">
        <is>
          <t>assemble</t>
        </is>
      </c>
      <c r="J96" s="30" t="inlineStr">
        <is>
          <t>remind</t>
        </is>
      </c>
      <c r="K96" s="30" t="inlineStr">
        <is>
          <t>association</t>
        </is>
      </c>
      <c r="L96" s="30" t="inlineStr">
        <is>
          <t>contribute</t>
        </is>
      </c>
      <c r="M96" s="30" t="inlineStr">
        <is>
          <t>attitude</t>
        </is>
      </c>
      <c r="N96" s="30" t="inlineStr">
        <is>
          <t>update</t>
        </is>
      </c>
      <c r="O96" s="31" t="inlineStr"/>
      <c r="P96" s="32">
        <f>IF(ISBLANK(O96), "", IF(TRIM(UPPER(O96))=TRIM(UPPER(Q96)), "○ 正解", "× 不正解"))</f>
        <v/>
      </c>
      <c r="Q96" s="32" t="inlineStr">
        <is>
          <t>H</t>
        </is>
      </c>
      <c r="R96" s="33" t="inlineStr">
        <is>
          <t>contribute</t>
        </is>
      </c>
      <c r="S96" s="34" t="inlineStr">
        <is>
          <t>Ms. Hunter contributed ten thousand dollars to the school.</t>
        </is>
      </c>
      <c r="T96" s="34" t="inlineStr">
        <is>
          <t>ハンターさんはその学校へ1万ドルの寄付をした。</t>
        </is>
      </c>
    </row>
    <row r="97" ht="24" customHeight="1">
      <c r="A97" s="35" t="inlineStr">
        <is>
          <t>Q92</t>
        </is>
      </c>
      <c r="B97" s="4" t="n">
        <v>492</v>
      </c>
      <c r="C97" s="36" t="inlineStr">
        <is>
          <t>納得させる</t>
        </is>
      </c>
      <c r="D97" s="35" t="inlineStr">
        <is>
          <t>動詞</t>
        </is>
      </c>
      <c r="E97" s="37" t="inlineStr">
        <is>
          <t>trust</t>
        </is>
      </c>
      <c r="F97" s="37" t="inlineStr">
        <is>
          <t>convince</t>
        </is>
      </c>
      <c r="G97" s="37" t="inlineStr">
        <is>
          <t>familiar</t>
        </is>
      </c>
      <c r="H97" s="37" t="inlineStr">
        <is>
          <t>ride</t>
        </is>
      </c>
      <c r="I97" s="37" t="inlineStr">
        <is>
          <t>questionnaire</t>
        </is>
      </c>
      <c r="J97" s="37" t="inlineStr">
        <is>
          <t>relocate</t>
        </is>
      </c>
      <c r="K97" s="37" t="inlineStr">
        <is>
          <t>upgrade</t>
        </is>
      </c>
      <c r="L97" s="37" t="inlineStr">
        <is>
          <t>fine</t>
        </is>
      </c>
      <c r="M97" s="37" t="inlineStr">
        <is>
          <t>broad</t>
        </is>
      </c>
      <c r="N97" s="37" t="inlineStr">
        <is>
          <t>focus</t>
        </is>
      </c>
      <c r="O97" s="31" t="inlineStr"/>
      <c r="P97" s="38">
        <f>IF(ISBLANK(O97), "", IF(TRIM(UPPER(O97))=TRIM(UPPER(Q97)), "○ 正解", "× 不正解"))</f>
        <v/>
      </c>
      <c r="Q97" s="38" t="inlineStr">
        <is>
          <t>B</t>
        </is>
      </c>
      <c r="R97" s="39" t="inlineStr">
        <is>
          <t>convince</t>
        </is>
      </c>
      <c r="S97" s="40" t="inlineStr">
        <is>
          <t>We have to convince the president.</t>
        </is>
      </c>
      <c r="T97" s="40" t="inlineStr">
        <is>
          <t>私たちは社長を納得させなければならない。</t>
        </is>
      </c>
    </row>
    <row r="98" ht="24" customHeight="1">
      <c r="A98" s="28" t="inlineStr">
        <is>
          <t>Q93</t>
        </is>
      </c>
      <c r="B98" s="9" t="n">
        <v>493</v>
      </c>
      <c r="C98" s="29" t="inlineStr">
        <is>
          <t>分ける</t>
        </is>
      </c>
      <c r="D98" s="28" t="inlineStr">
        <is>
          <t>動詞</t>
        </is>
      </c>
      <c r="E98" s="30" t="inlineStr">
        <is>
          <t>prior to</t>
        </is>
      </c>
      <c r="F98" s="30" t="inlineStr">
        <is>
          <t>reputation</t>
        </is>
      </c>
      <c r="G98" s="30" t="inlineStr">
        <is>
          <t>restore</t>
        </is>
      </c>
      <c r="H98" s="30" t="inlineStr">
        <is>
          <t>trust</t>
        </is>
      </c>
      <c r="I98" s="30" t="inlineStr">
        <is>
          <t>income</t>
        </is>
      </c>
      <c r="J98" s="30" t="inlineStr">
        <is>
          <t>point out</t>
        </is>
      </c>
      <c r="K98" s="30" t="inlineStr">
        <is>
          <t>divide</t>
        </is>
      </c>
      <c r="L98" s="30" t="inlineStr">
        <is>
          <t>resign</t>
        </is>
      </c>
      <c r="M98" s="30" t="inlineStr">
        <is>
          <t>polite</t>
        </is>
      </c>
      <c r="N98" s="30" t="inlineStr">
        <is>
          <t>population</t>
        </is>
      </c>
      <c r="O98" s="31" t="inlineStr"/>
      <c r="P98" s="32">
        <f>IF(ISBLANK(O98), "", IF(TRIM(UPPER(O98))=TRIM(UPPER(Q98)), "○ 正解", "× 不正解"))</f>
        <v/>
      </c>
      <c r="Q98" s="32" t="inlineStr">
        <is>
          <t>G</t>
        </is>
      </c>
      <c r="R98" s="33" t="inlineStr">
        <is>
          <t>divide</t>
        </is>
      </c>
      <c r="S98" s="34" t="inlineStr">
        <is>
          <t>We should divide the profits equally among us.</t>
        </is>
      </c>
      <c r="T98" s="34" t="inlineStr">
        <is>
          <t>利益は私たちの間で平等に分けるべきです。</t>
        </is>
      </c>
    </row>
    <row r="99" ht="24" customHeight="1">
      <c r="A99" s="35" t="inlineStr">
        <is>
          <t>Q94</t>
        </is>
      </c>
      <c r="B99" s="4" t="n">
        <v>494</v>
      </c>
      <c r="C99" s="36" t="inlineStr">
        <is>
          <t>罰金</t>
        </is>
      </c>
      <c r="D99" s="35" t="inlineStr">
        <is>
          <t>名詞</t>
        </is>
      </c>
      <c r="E99" s="37" t="inlineStr">
        <is>
          <t>familiar</t>
        </is>
      </c>
      <c r="F99" s="37" t="inlineStr">
        <is>
          <t>commute</t>
        </is>
      </c>
      <c r="G99" s="37" t="inlineStr">
        <is>
          <t>transfer</t>
        </is>
      </c>
      <c r="H99" s="37" t="inlineStr">
        <is>
          <t>normally</t>
        </is>
      </c>
      <c r="I99" s="37" t="inlineStr">
        <is>
          <t>fine</t>
        </is>
      </c>
      <c r="J99" s="37" t="inlineStr">
        <is>
          <t>expire</t>
        </is>
      </c>
      <c r="K99" s="37" t="inlineStr">
        <is>
          <t>seek</t>
        </is>
      </c>
      <c r="L99" s="37" t="inlineStr">
        <is>
          <t>temporary</t>
        </is>
      </c>
      <c r="M99" s="37" t="inlineStr">
        <is>
          <t>cancel</t>
        </is>
      </c>
      <c r="N99" s="37" t="inlineStr">
        <is>
          <t>prior to</t>
        </is>
      </c>
      <c r="O99" s="31" t="inlineStr"/>
      <c r="P99" s="38">
        <f>IF(ISBLANK(O99), "", IF(TRIM(UPPER(O99))=TRIM(UPPER(Q99)), "○ 正解", "× 不正解"))</f>
        <v/>
      </c>
      <c r="Q99" s="38" t="inlineStr">
        <is>
          <t>E</t>
        </is>
      </c>
      <c r="R99" s="39" t="inlineStr">
        <is>
          <t>fine</t>
        </is>
      </c>
      <c r="S99" s="40" t="inlineStr">
        <is>
          <t>I got a 55-dollar fine for illegal parking.</t>
        </is>
      </c>
      <c r="T99" s="40" t="inlineStr">
        <is>
          <t>私は違法駐車で55ドルの罰金を取られた。</t>
        </is>
      </c>
    </row>
    <row r="100" ht="24" customHeight="1">
      <c r="A100" s="28" t="inlineStr">
        <is>
          <t>Q95</t>
        </is>
      </c>
      <c r="B100" s="9" t="n">
        <v>495</v>
      </c>
      <c r="C100" s="29" t="inlineStr">
        <is>
          <t>尋ねる</t>
        </is>
      </c>
      <c r="D100" s="28" t="inlineStr">
        <is>
          <t>動詞</t>
        </is>
      </c>
      <c r="E100" s="30" t="inlineStr">
        <is>
          <t>population</t>
        </is>
      </c>
      <c r="F100" s="30" t="inlineStr">
        <is>
          <t>remain</t>
        </is>
      </c>
      <c r="G100" s="30" t="inlineStr">
        <is>
          <t>transfer</t>
        </is>
      </c>
      <c r="H100" s="30" t="inlineStr">
        <is>
          <t>questionnaire</t>
        </is>
      </c>
      <c r="I100" s="30" t="inlineStr">
        <is>
          <t>inquire</t>
        </is>
      </c>
      <c r="J100" s="30" t="inlineStr">
        <is>
          <t>conversation</t>
        </is>
      </c>
      <c r="K100" s="30" t="inlineStr">
        <is>
          <t>divide</t>
        </is>
      </c>
      <c r="L100" s="30" t="inlineStr">
        <is>
          <t>economical</t>
        </is>
      </c>
      <c r="M100" s="30" t="inlineStr">
        <is>
          <t>immediate</t>
        </is>
      </c>
      <c r="N100" s="30" t="inlineStr">
        <is>
          <t>compared with</t>
        </is>
      </c>
      <c r="O100" s="31" t="inlineStr"/>
      <c r="P100" s="32">
        <f>IF(ISBLANK(O100), "", IF(TRIM(UPPER(O100))=TRIM(UPPER(Q100)), "○ 正解", "× 不正解"))</f>
        <v/>
      </c>
      <c r="Q100" s="32" t="inlineStr">
        <is>
          <t>E</t>
        </is>
      </c>
      <c r="R100" s="33" t="inlineStr">
        <is>
          <t>inquire</t>
        </is>
      </c>
      <c r="S100" s="34" t="inlineStr">
        <is>
          <t>I inquired about their service.</t>
        </is>
      </c>
      <c r="T100" s="34" t="inlineStr">
        <is>
          <t>私は彼らのサービスについて尋ねた。</t>
        </is>
      </c>
    </row>
    <row r="101" ht="24" customHeight="1">
      <c r="A101" s="35" t="inlineStr">
        <is>
          <t>Q96</t>
        </is>
      </c>
      <c r="B101" s="4" t="n">
        <v>496</v>
      </c>
      <c r="C101" s="36" t="inlineStr">
        <is>
          <t>明確な・特定の</t>
        </is>
      </c>
      <c r="D101" s="35" t="inlineStr">
        <is>
          <t>形容詞</t>
        </is>
      </c>
      <c r="E101" s="37" t="inlineStr">
        <is>
          <t>conversation</t>
        </is>
      </c>
      <c r="F101" s="37" t="inlineStr">
        <is>
          <t>expire</t>
        </is>
      </c>
      <c r="G101" s="37" t="inlineStr">
        <is>
          <t>chemical</t>
        </is>
      </c>
      <c r="H101" s="37" t="inlineStr">
        <is>
          <t>attention</t>
        </is>
      </c>
      <c r="I101" s="37" t="inlineStr">
        <is>
          <t>specific</t>
        </is>
      </c>
      <c r="J101" s="37" t="inlineStr">
        <is>
          <t>common</t>
        </is>
      </c>
      <c r="K101" s="37" t="inlineStr">
        <is>
          <t>means</t>
        </is>
      </c>
      <c r="L101" s="37" t="inlineStr">
        <is>
          <t>immediate</t>
        </is>
      </c>
      <c r="M101" s="37" t="inlineStr">
        <is>
          <t>broad</t>
        </is>
      </c>
      <c r="N101" s="37" t="inlineStr">
        <is>
          <t>seek</t>
        </is>
      </c>
      <c r="O101" s="31" t="inlineStr"/>
      <c r="P101" s="38">
        <f>IF(ISBLANK(O101), "", IF(TRIM(UPPER(O101))=TRIM(UPPER(Q101)), "○ 正解", "× 不正解"))</f>
        <v/>
      </c>
      <c r="Q101" s="38" t="inlineStr">
        <is>
          <t>E</t>
        </is>
      </c>
      <c r="R101" s="39" t="inlineStr">
        <is>
          <t>specific</t>
        </is>
      </c>
      <c r="S101" s="40" t="inlineStr">
        <is>
          <t>Each product is designed for a specific purpose.</t>
        </is>
      </c>
      <c r="T101" s="40" t="inlineStr">
        <is>
          <t>それぞれの製品は特定の目的のために作られています。</t>
        </is>
      </c>
    </row>
    <row r="102" ht="24" customHeight="1">
      <c r="A102" s="28" t="inlineStr">
        <is>
          <t>Q97</t>
        </is>
      </c>
      <c r="B102" s="9" t="n">
        <v>497</v>
      </c>
      <c r="C102" s="29" t="inlineStr">
        <is>
          <t>在庫</t>
        </is>
      </c>
      <c r="D102" s="28" t="inlineStr">
        <is>
          <t>名詞</t>
        </is>
      </c>
      <c r="E102" s="30" t="inlineStr">
        <is>
          <t>retail</t>
        </is>
      </c>
      <c r="F102" s="30" t="inlineStr">
        <is>
          <t>polite</t>
        </is>
      </c>
      <c r="G102" s="30" t="inlineStr">
        <is>
          <t>demonstrate</t>
        </is>
      </c>
      <c r="H102" s="30" t="inlineStr">
        <is>
          <t>stock</t>
        </is>
      </c>
      <c r="I102" s="30" t="inlineStr">
        <is>
          <t>update</t>
        </is>
      </c>
      <c r="J102" s="30" t="inlineStr">
        <is>
          <t>complicated</t>
        </is>
      </c>
      <c r="K102" s="30" t="inlineStr">
        <is>
          <t>contain</t>
        </is>
      </c>
      <c r="L102" s="30" t="inlineStr">
        <is>
          <t>association</t>
        </is>
      </c>
      <c r="M102" s="30" t="inlineStr">
        <is>
          <t>budget</t>
        </is>
      </c>
      <c r="N102" s="30" t="inlineStr">
        <is>
          <t>upstairs</t>
        </is>
      </c>
      <c r="O102" s="31" t="inlineStr"/>
      <c r="P102" s="32">
        <f>IF(ISBLANK(O102), "", IF(TRIM(UPPER(O102))=TRIM(UPPER(Q102)), "○ 正解", "× 不正解"))</f>
        <v/>
      </c>
      <c r="Q102" s="32" t="inlineStr">
        <is>
          <t>D</t>
        </is>
      </c>
      <c r="R102" s="33" t="inlineStr">
        <is>
          <t>stock</t>
        </is>
      </c>
      <c r="S102" s="34" t="inlineStr">
        <is>
          <t>This model is currently out of stock.</t>
        </is>
      </c>
      <c r="T102" s="34" t="inlineStr">
        <is>
          <t>このモデルは現在、在庫が切れています。</t>
        </is>
      </c>
    </row>
    <row r="103" ht="24" customHeight="1">
      <c r="A103" s="35" t="inlineStr">
        <is>
          <t>Q98</t>
        </is>
      </c>
      <c r="B103" s="4" t="n">
        <v>498</v>
      </c>
      <c r="C103" s="36" t="inlineStr">
        <is>
          <t>気が付いている</t>
        </is>
      </c>
      <c r="D103" s="35" t="inlineStr">
        <is>
          <t>形容詞</t>
        </is>
      </c>
      <c r="E103" s="37" t="inlineStr">
        <is>
          <t>refreshment</t>
        </is>
      </c>
      <c r="F103" s="37" t="inlineStr">
        <is>
          <t>population</t>
        </is>
      </c>
      <c r="G103" s="37" t="inlineStr">
        <is>
          <t>routine</t>
        </is>
      </c>
      <c r="H103" s="37" t="inlineStr">
        <is>
          <t>aware</t>
        </is>
      </c>
      <c r="I103" s="37" t="inlineStr">
        <is>
          <t>economical</t>
        </is>
      </c>
      <c r="J103" s="37" t="inlineStr">
        <is>
          <t>mild</t>
        </is>
      </c>
      <c r="K103" s="37" t="inlineStr">
        <is>
          <t>immediate</t>
        </is>
      </c>
      <c r="L103" s="37" t="inlineStr">
        <is>
          <t>identify</t>
        </is>
      </c>
      <c r="M103" s="37" t="inlineStr">
        <is>
          <t>process</t>
        </is>
      </c>
      <c r="N103" s="37" t="inlineStr">
        <is>
          <t>resign</t>
        </is>
      </c>
      <c r="O103" s="31" t="inlineStr"/>
      <c r="P103" s="38">
        <f>IF(ISBLANK(O103), "", IF(TRIM(UPPER(O103))=TRIM(UPPER(Q103)), "○ 正解", "× 不正解"))</f>
        <v/>
      </c>
      <c r="Q103" s="38" t="inlineStr">
        <is>
          <t>D</t>
        </is>
      </c>
      <c r="R103" s="39" t="inlineStr">
        <is>
          <t>aware</t>
        </is>
      </c>
      <c r="S103" s="40" t="inlineStr">
        <is>
          <t>We are aware that our sales network is insufficient.</t>
        </is>
      </c>
      <c r="T103" s="40" t="inlineStr">
        <is>
          <t>私たちは販売網が十分でないことを知っています。</t>
        </is>
      </c>
    </row>
    <row r="104" ht="24" customHeight="1">
      <c r="A104" s="28" t="inlineStr">
        <is>
          <t>Q99</t>
        </is>
      </c>
      <c r="B104" s="9" t="n">
        <v>499</v>
      </c>
      <c r="C104" s="29" t="inlineStr">
        <is>
          <t>大まかな</t>
        </is>
      </c>
      <c r="D104" s="28" t="inlineStr">
        <is>
          <t>形容詞</t>
        </is>
      </c>
      <c r="E104" s="30" t="inlineStr">
        <is>
          <t>upstairs</t>
        </is>
      </c>
      <c r="F104" s="30" t="inlineStr">
        <is>
          <t>broad</t>
        </is>
      </c>
      <c r="G104" s="30" t="inlineStr">
        <is>
          <t>physical</t>
        </is>
      </c>
      <c r="H104" s="30" t="inlineStr">
        <is>
          <t>routine</t>
        </is>
      </c>
      <c r="I104" s="30" t="inlineStr">
        <is>
          <t>status</t>
        </is>
      </c>
      <c r="J104" s="30" t="inlineStr">
        <is>
          <t>relocate</t>
        </is>
      </c>
      <c r="K104" s="30" t="inlineStr">
        <is>
          <t>trust</t>
        </is>
      </c>
      <c r="L104" s="30" t="inlineStr">
        <is>
          <t>pour</t>
        </is>
      </c>
      <c r="M104" s="30" t="inlineStr">
        <is>
          <t>mild</t>
        </is>
      </c>
      <c r="N104" s="30" t="inlineStr">
        <is>
          <t>common</t>
        </is>
      </c>
      <c r="O104" s="31" t="inlineStr"/>
      <c r="P104" s="32">
        <f>IF(ISBLANK(O104), "", IF(TRIM(UPPER(O104))=TRIM(UPPER(Q104)), "○ 正解", "× 不正解"))</f>
        <v/>
      </c>
      <c r="Q104" s="32" t="inlineStr">
        <is>
          <t>B</t>
        </is>
      </c>
      <c r="R104" s="33" t="inlineStr">
        <is>
          <t>broad</t>
        </is>
      </c>
      <c r="S104" s="34" t="inlineStr">
        <is>
          <t>He gave us a broad outline of the plan.</t>
        </is>
      </c>
      <c r="T104" s="34" t="inlineStr">
        <is>
          <t>彼は私たちにその計画の大まかな概要を示した。</t>
        </is>
      </c>
    </row>
    <row r="105" ht="24" customHeight="1">
      <c r="A105" s="35" t="inlineStr">
        <is>
          <t>Q100</t>
        </is>
      </c>
      <c r="B105" s="4" t="n">
        <v>500</v>
      </c>
      <c r="C105" s="36" t="inlineStr">
        <is>
          <t>最大の</t>
        </is>
      </c>
      <c r="D105" s="35" t="inlineStr">
        <is>
          <t>形容詞</t>
        </is>
      </c>
      <c r="E105" s="37" t="inlineStr">
        <is>
          <t>property</t>
        </is>
      </c>
      <c r="F105" s="37" t="inlineStr">
        <is>
          <t>establish</t>
        </is>
      </c>
      <c r="G105" s="37" t="inlineStr">
        <is>
          <t>complicated</t>
        </is>
      </c>
      <c r="H105" s="37" t="inlineStr">
        <is>
          <t>necessary</t>
        </is>
      </c>
      <c r="I105" s="37" t="inlineStr">
        <is>
          <t>ride</t>
        </is>
      </c>
      <c r="J105" s="37" t="inlineStr">
        <is>
          <t>accompany</t>
        </is>
      </c>
      <c r="K105" s="37" t="inlineStr">
        <is>
          <t>point out</t>
        </is>
      </c>
      <c r="L105" s="37" t="inlineStr">
        <is>
          <t>retail</t>
        </is>
      </c>
      <c r="M105" s="37" t="inlineStr">
        <is>
          <t>refreshment</t>
        </is>
      </c>
      <c r="N105" s="37" t="inlineStr">
        <is>
          <t>maximum</t>
        </is>
      </c>
      <c r="O105" s="31" t="inlineStr"/>
      <c r="P105" s="38">
        <f>IF(ISBLANK(O105), "", IF(TRIM(UPPER(O105))=TRIM(UPPER(Q105)), "○ 正解", "× 不正解"))</f>
        <v/>
      </c>
      <c r="Q105" s="38" t="inlineStr">
        <is>
          <t>J</t>
        </is>
      </c>
      <c r="R105" s="39" t="inlineStr">
        <is>
          <t>maximum</t>
        </is>
      </c>
      <c r="S105" s="40" t="inlineStr">
        <is>
          <t>The factory is operating at maximum capacity.</t>
        </is>
      </c>
      <c r="T105" s="40" t="inlineStr">
        <is>
          <t>その工場は稼働能力限界で操業している。</t>
        </is>
      </c>
    </row>
  </sheetData>
  <mergeCells count="10">
    <mergeCell ref="A1:T1"/>
    <mergeCell ref="A2:B2"/>
    <mergeCell ref="C2:D2"/>
    <mergeCell ref="G2:H2"/>
    <mergeCell ref="E2:F2"/>
    <mergeCell ref="I2:T3"/>
    <mergeCell ref="C3:D3"/>
    <mergeCell ref="A3:B3"/>
    <mergeCell ref="G3:H3"/>
    <mergeCell ref="E3:F3"/>
  </mergeCells>
  <conditionalFormatting sqref="P6:P105">
    <cfRule type="cellIs" priority="1" operator="equal" dxfId="0" stopIfTrue="1">
      <formula>"○ 正解"</formula>
    </cfRule>
    <cfRule type="cellIs" priority="2" operator="equal" dxfId="1" stopIfTrue="1">
      <formula>"× 不正解"</formula>
    </cfRule>
  </conditionalFormatting>
  <dataValidations count="1">
    <dataValidation sqref="O6:O105" showDropDown="0" showInputMessage="0" showErrorMessage="0" allowBlank="1" errorTitle="入力エラー" error="AからJの英字を選択してください。" promptTitle="回答の選択" prompt="選択肢(A〜J)を選んでください" type="list">
      <formula1>"A,B,C,D,E,F,G,H,I,J"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2026-10-28T10:31:14Z</dcterms:created>
  <dcterms:modified xmlns:dcterms="http://purl.org/dc/terms/" xmlns:xsi="http://www.w3.org/2001/XMLSchema-instance" xsi:type="dcterms:W3CDTF">2026-10-28T10:31:15Z</dcterms:modified>
</cp:coreProperties>
</file>